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\Desktop\Planning\"/>
    </mc:Choice>
  </mc:AlternateContent>
  <xr:revisionPtr revIDLastSave="0" documentId="13_ncr:1_{F260504B-1B47-4F6A-BEB6-9BE5BB98FD06}" xr6:coauthVersionLast="47" xr6:coauthVersionMax="47" xr10:uidLastSave="{00000000-0000-0000-0000-000000000000}"/>
  <bookViews>
    <workbookView xWindow="28680" yWindow="-1050" windowWidth="29040" windowHeight="17520" activeTab="1" xr2:uid="{C87E26FC-D789-4406-AF37-C68B15765054}"/>
  </bookViews>
  <sheets>
    <sheet name="Sheet3" sheetId="3" r:id="rId1"/>
    <sheet name="Sheet1" sheetId="1" r:id="rId2"/>
    <sheet name="Draaitabel" sheetId="2" r:id="rId3"/>
  </sheets>
  <calcPr calcId="191029"/>
  <pivotCaches>
    <pivotCache cacheId="3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C12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G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C10" i="1"/>
  <c r="C9" i="1"/>
  <c r="F6" i="1" l="1" a="1"/>
  <c r="F6" i="1" s="1"/>
  <c r="I6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<sst xmlns="http://schemas.openxmlformats.org/spreadsheetml/2006/main" count="117" uniqueCount="25">
  <si>
    <t>Fathin Muhammad</t>
  </si>
  <si>
    <t>VAK</t>
  </si>
  <si>
    <t>VRIJ</t>
  </si>
  <si>
    <t>Z</t>
  </si>
  <si>
    <t>Start Datum</t>
  </si>
  <si>
    <t>Medewerker</t>
  </si>
  <si>
    <t>Mederwerker ID</t>
  </si>
  <si>
    <t>James van Aard</t>
  </si>
  <si>
    <t>Marissa ter Haare</t>
  </si>
  <si>
    <t>Denzel  Klavert</t>
  </si>
  <si>
    <t>Wendy Chang</t>
  </si>
  <si>
    <t>Ahmet Yilmaz</t>
  </si>
  <si>
    <t>FM042353</t>
  </si>
  <si>
    <t>JA925677</t>
  </si>
  <si>
    <t>MH363281</t>
  </si>
  <si>
    <t>DK225462</t>
  </si>
  <si>
    <t>WH133321</t>
  </si>
  <si>
    <t>AY089920</t>
  </si>
  <si>
    <t>Ziek</t>
  </si>
  <si>
    <t>Vrij</t>
  </si>
  <si>
    <t>Vakantie</t>
  </si>
  <si>
    <t>X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</si>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</sst>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3]d\ mm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8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0" xfId="0" applyNumberFormat="1"/>
    <xf numFmtId="0" fontId="3" fillId="2" borderId="0" xfId="0" applyFont="1" applyFill="1" applyAlignment="1">
      <alignment horizontal="left" vertical="center"/>
    </xf>
    <xf numFmtId="0" fontId="1" fillId="3" borderId="0" xfId="0" applyFont="1" applyFill="1"/>
    <xf numFmtId="14" fontId="1" fillId="4" borderId="0" xfId="0" applyNumberFormat="1" applyFont="1" applyFill="1" applyAlignment="1">
      <alignment horizontal="left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3" borderId="0" xfId="0" applyFill="1"/>
    <xf numFmtId="166" fontId="4" fillId="5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1" fillId="0" borderId="0" xfId="0" applyFont="1" applyFill="1"/>
    <xf numFmtId="0" fontId="0" fillId="7" borderId="0" xfId="0" applyFill="1"/>
    <xf numFmtId="0" fontId="0" fillId="9" borderId="0" xfId="0" applyFill="1"/>
    <xf numFmtId="166" fontId="4" fillId="0" borderId="0" xfId="0" applyNumberFormat="1" applyFont="1" applyFill="1" applyAlignment="1">
      <alignment horizontal="center" vertical="center" wrapText="1"/>
    </xf>
    <xf numFmtId="14" fontId="1" fillId="6" borderId="0" xfId="0" applyNumberFormat="1" applyFont="1" applyFill="1" applyAlignment="1">
      <alignment horizontal="left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2" borderId="0" xfId="0" applyFill="1"/>
    <xf numFmtId="0" fontId="4" fillId="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20" fontId="0" fillId="11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9F8A8"/>
      <color rgb="FF808080"/>
      <color rgb="FFD0D0D0"/>
      <color rgb="FF00B0F0"/>
      <color rgb="FFCAEDFB"/>
      <color rgb="FFFF000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hin Muhammad" refreshedDate="46293.75156921296" createdVersion="8" refreshedVersion="8" minRefreshableVersion="3" recordCount="12" xr:uid="{F440FF06-F7BE-4E69-BC14-564EE16B438B}">
  <cacheSource type="worksheet">
    <worksheetSource ref="A10:AF22" sheet="Sheet1"/>
  </cacheSource>
  <cacheFields count="32">
    <cacheField name="Medewerker" numFmtId="0">
      <sharedItems containsBlank="1" count="7">
        <s v="Fathin Muhammad"/>
        <m/>
        <s v="James van Aard"/>
        <s v="Marissa ter Haare"/>
        <s v="Denzel  Klavert"/>
        <s v="Wendy Chang"/>
        <s v="Ahmet Yilmaz"/>
      </sharedItems>
    </cacheField>
    <cacheField name="Mederwerker ID" numFmtId="0">
      <sharedItems containsBlank="1"/>
    </cacheField>
    <cacheField name="Zo" numFmtId="20">
      <sharedItems/>
    </cacheField>
    <cacheField name="Ma" numFmtId="20">
      <sharedItems containsDate="1" containsMixedTypes="1" minDate="1899-12-30T08:00:00" maxDate="1899-12-30T16:30:00"/>
    </cacheField>
    <cacheField name="Di" numFmtId="20">
      <sharedItems containsDate="1" containsMixedTypes="1" minDate="1899-12-30T08:00:00" maxDate="1899-12-30T16:30:00"/>
    </cacheField>
    <cacheField name="Wo" numFmtId="20">
      <sharedItems containsDate="1" containsMixedTypes="1" minDate="1899-12-30T08:00:00" maxDate="1899-12-30T16:30:00"/>
    </cacheField>
    <cacheField name="Do" numFmtId="20">
      <sharedItems containsDate="1" containsMixedTypes="1" minDate="1899-12-30T08:00:00" maxDate="1899-12-30T16:30:00"/>
    </cacheField>
    <cacheField name="Vr" numFmtId="20">
      <sharedItems containsDate="1" containsMixedTypes="1" minDate="1899-12-30T08:00:00" maxDate="1899-12-30T16:30:00"/>
    </cacheField>
    <cacheField name="Za" numFmtId="20">
      <sharedItems/>
    </cacheField>
    <cacheField name="Zo2" numFmtId="20">
      <sharedItems/>
    </cacheField>
    <cacheField name="Ma2" numFmtId="20">
      <sharedItems containsDate="1" containsMixedTypes="1" minDate="1899-12-30T08:00:00" maxDate="1899-12-30T16:30:00"/>
    </cacheField>
    <cacheField name="Di2" numFmtId="20">
      <sharedItems containsDate="1" containsMixedTypes="1" minDate="1899-12-30T08:00:00" maxDate="1899-12-30T16:30:00"/>
    </cacheField>
    <cacheField name="Wo2" numFmtId="20">
      <sharedItems containsDate="1" containsMixedTypes="1" minDate="1899-12-30T08:00:00" maxDate="1899-12-30T16:30:00"/>
    </cacheField>
    <cacheField name="Do2" numFmtId="20">
      <sharedItems containsSemiMixedTypes="0" containsNonDate="0" containsDate="1" containsString="0" minDate="1899-12-30T08:00:00" maxDate="1899-12-30T16:30:00"/>
    </cacheField>
    <cacheField name="Vr2" numFmtId="20">
      <sharedItems containsDate="1" containsMixedTypes="1" minDate="1899-12-30T08:00:00" maxDate="1899-12-30T16:30:00"/>
    </cacheField>
    <cacheField name="Za2" numFmtId="20">
      <sharedItems/>
    </cacheField>
    <cacheField name="Zo3" numFmtId="20">
      <sharedItems/>
    </cacheField>
    <cacheField name="Ma3" numFmtId="20">
      <sharedItems containsDate="1" containsMixedTypes="1" minDate="1899-12-30T08:00:00" maxDate="1899-12-30T16:30:00"/>
    </cacheField>
    <cacheField name="Di3" numFmtId="20">
      <sharedItems containsDate="1" containsMixedTypes="1" minDate="1899-12-30T08:00:00" maxDate="1899-12-30T16:30:00"/>
    </cacheField>
    <cacheField name="Wo3" numFmtId="20">
      <sharedItems containsDate="1" containsMixedTypes="1" minDate="1899-12-30T08:00:00" maxDate="1899-12-30T16:30:00"/>
    </cacheField>
    <cacheField name="Do3" numFmtId="20">
      <sharedItems containsDate="1" containsMixedTypes="1" minDate="1899-12-30T08:00:00" maxDate="1899-12-30T16:30:00"/>
    </cacheField>
    <cacheField name="Vr3" numFmtId="20">
      <sharedItems containsDate="1" containsMixedTypes="1" minDate="1899-12-30T08:00:00" maxDate="1899-12-30T16:30:00"/>
    </cacheField>
    <cacheField name="Za3" numFmtId="20">
      <sharedItems/>
    </cacheField>
    <cacheField name="Zo4" numFmtId="20">
      <sharedItems/>
    </cacheField>
    <cacheField name="Ma4" numFmtId="20">
      <sharedItems containsDate="1" containsMixedTypes="1" minDate="1899-12-30T08:00:00" maxDate="1899-12-30T16:30:00"/>
    </cacheField>
    <cacheField name="Di4" numFmtId="20">
      <sharedItems containsDate="1" containsMixedTypes="1" minDate="1899-12-30T08:00:00" maxDate="1899-12-30T16:30:00"/>
    </cacheField>
    <cacheField name="Wo4" numFmtId="20">
      <sharedItems containsDate="1" containsMixedTypes="1" minDate="1899-12-30T08:00:00" maxDate="1899-12-30T16:30:00"/>
    </cacheField>
    <cacheField name="Do4" numFmtId="20">
      <sharedItems containsDate="1" containsMixedTypes="1" minDate="1899-12-30T08:00:00" maxDate="1899-12-30T16:30:00"/>
    </cacheField>
    <cacheField name="Vr4" numFmtId="20">
      <sharedItems containsDate="1" containsMixedTypes="1" minDate="1899-12-30T08:00:00" maxDate="1899-12-30T16:30:00"/>
    </cacheField>
    <cacheField name="Za4" numFmtId="20">
      <sharedItems/>
    </cacheField>
    <cacheField name="Zo5" numFmtId="20">
      <sharedItems/>
    </cacheField>
    <cacheField name="Ma5" numFmtId="20">
      <sharedItems containsDate="1" containsMixedTypes="1" minDate="1899-12-30T08:00:00" maxDate="1899-12-30T16:3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FM042353"/>
    <s v="X"/>
    <d v="1899-12-30T08:00:00"/>
    <d v="1899-12-30T08:00:00"/>
    <d v="1899-12-30T08:00:00"/>
    <d v="1899-12-30T08:00:00"/>
    <s v="VRIJ"/>
    <s v="X"/>
    <s v="X"/>
    <d v="1899-12-30T08:00:00"/>
    <d v="1899-12-30T08:00:00"/>
    <d v="1899-12-30T08:00:00"/>
    <d v="1899-12-30T08:00:00"/>
    <s v="VRIJ"/>
    <s v="X"/>
    <s v="X"/>
    <s v="VAK"/>
    <s v="VAK"/>
    <s v="VAK"/>
    <s v="VAK"/>
    <s v="VRIJ"/>
    <s v="X"/>
    <s v="X"/>
    <s v="VAK"/>
    <s v="VAK"/>
    <s v="VAK"/>
    <s v="VAK"/>
    <s v="VRIJ"/>
    <s v="X"/>
    <s v="X"/>
    <d v="1899-12-30T08:00:00"/>
  </r>
  <r>
    <x v="1"/>
    <m/>
    <s v=""/>
    <d v="1899-12-30T16:30:00"/>
    <d v="1899-12-30T16:30:00"/>
    <d v="1899-12-30T16:30:00"/>
    <d v="1899-12-30T16:30:00"/>
    <s v=""/>
    <s v=""/>
    <s v=""/>
    <d v="1899-12-30T16:30:00"/>
    <d v="1899-12-30T16:30:00"/>
    <d v="1899-12-30T16:30:00"/>
    <d v="1899-12-30T16:30:00"/>
    <s v=""/>
    <s v=""/>
    <s v=""/>
    <s v=""/>
    <s v=""/>
    <s v=""/>
    <s v=""/>
    <s v=""/>
    <s v=""/>
    <s v=""/>
    <s v=""/>
    <s v=""/>
    <s v=""/>
    <s v=""/>
    <s v=""/>
    <s v=""/>
    <s v=""/>
    <d v="1899-12-30T16:30:00"/>
  </r>
  <r>
    <x v="2"/>
    <s v="JA925677"/>
    <s v="X"/>
    <d v="1899-12-30T08:00:00"/>
    <d v="1899-12-30T08:00:00"/>
    <d v="1899-12-30T08:00:00"/>
    <s v="Z"/>
    <s v="Z"/>
    <s v="X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d v="1899-12-30T08:00:00"/>
    <d v="1899-12-30T08:00:00"/>
    <s v="X"/>
    <s v="X"/>
    <d v="1899-12-30T08:00:00"/>
  </r>
  <r>
    <x v="1"/>
    <m/>
    <s v=""/>
    <d v="1899-12-30T16:30:00"/>
    <d v="1899-12-30T16:30:00"/>
    <d v="1899-12-30T16:30:00"/>
    <s v=""/>
    <s v=""/>
    <s v=""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d v="1899-12-30T16:30:00"/>
    <d v="1899-12-30T16:30:00"/>
    <s v=""/>
    <s v=""/>
    <d v="1899-12-30T16:30:00"/>
  </r>
  <r>
    <x v="3"/>
    <s v="MH363281"/>
    <s v="X"/>
    <s v="VAK"/>
    <s v="VAK"/>
    <s v="VAK"/>
    <s v="VAK"/>
    <s v="VAK"/>
    <s v="X"/>
    <s v="X"/>
    <s v="VRIJ"/>
    <s v="Z"/>
    <s v="Z"/>
    <d v="1899-12-30T08:00:00"/>
    <d v="1899-12-30T08:00:00"/>
    <s v="X"/>
    <s v="X"/>
    <s v="VRIJ"/>
    <d v="1899-12-30T08:00:00"/>
    <d v="1899-12-30T08:00:00"/>
    <d v="1899-12-30T08:00:00"/>
    <d v="1899-12-30T08:00:00"/>
    <s v="X"/>
    <s v="X"/>
    <s v="VRIJ"/>
    <d v="1899-12-30T08:00:00"/>
    <d v="1899-12-30T08:00:00"/>
    <d v="1899-12-30T08:00:00"/>
    <d v="1899-12-30T08:00:00"/>
    <s v="X"/>
    <s v="X"/>
    <s v="VRIJ"/>
  </r>
  <r>
    <x v="1"/>
    <m/>
    <s v=""/>
    <s v=""/>
    <s v=""/>
    <s v=""/>
    <s v=""/>
    <s v=""/>
    <s v=""/>
    <s v=""/>
    <s v=""/>
    <s v=""/>
    <s v=""/>
    <d v="1899-12-30T16:30:00"/>
    <d v="1899-12-30T16:30:00"/>
    <s v=""/>
    <s v=""/>
    <s v=""/>
    <d v="1899-12-30T16:30:00"/>
    <d v="1899-12-30T16:30:00"/>
    <d v="1899-12-30T16:30:00"/>
    <d v="1899-12-30T16:30:00"/>
    <s v=""/>
    <s v=""/>
    <s v=""/>
    <d v="1899-12-30T16:30:00"/>
    <d v="1899-12-30T16:30:00"/>
    <d v="1899-12-30T16:30:00"/>
    <d v="1899-12-30T16:30:00"/>
    <s v=""/>
    <s v=""/>
    <s v=""/>
  </r>
  <r>
    <x v="4"/>
    <s v="DK225462"/>
    <s v="X"/>
    <d v="1899-12-30T08:00:00"/>
    <d v="1899-12-30T08:00:00"/>
    <s v="VRIJ"/>
    <d v="1899-12-30T08:00:00"/>
    <d v="1899-12-30T08:00:00"/>
    <s v="X"/>
    <s v="X"/>
    <d v="1899-12-30T08:00:00"/>
    <d v="1899-12-30T08:00:00"/>
    <s v="VRIJ"/>
    <d v="1899-12-30T08:00:00"/>
    <d v="1899-12-30T08:00:00"/>
    <s v="X"/>
    <s v="X"/>
    <d v="1899-12-30T08:00:00"/>
    <d v="1899-12-30T08:00:00"/>
    <s v="VRIJ"/>
    <d v="1899-12-30T08:00:00"/>
    <d v="1899-12-30T08:00:00"/>
    <s v="X"/>
    <s v="X"/>
    <d v="1899-12-30T08:00:00"/>
    <d v="1899-12-30T08:00:00"/>
    <s v="VRIJ"/>
    <d v="1899-12-30T08:00:00"/>
    <d v="1899-12-30T08:00:00"/>
    <s v="X"/>
    <s v="X"/>
    <d v="1899-12-30T08:00:00"/>
  </r>
  <r>
    <x v="1"/>
    <m/>
    <s v=""/>
    <d v="1899-12-30T16:30:00"/>
    <d v="1899-12-30T16:30:00"/>
    <s v=""/>
    <d v="1899-12-30T16:30:00"/>
    <d v="1899-12-30T16:30:00"/>
    <s v=""/>
    <s v=""/>
    <d v="1899-12-30T16:30:00"/>
    <d v="1899-12-30T16:30:00"/>
    <s v=""/>
    <d v="1899-12-30T16:30:00"/>
    <d v="1899-12-30T16:30:00"/>
    <s v=""/>
    <s v=""/>
    <d v="1899-12-30T16:30:00"/>
    <d v="1899-12-30T16:30:00"/>
    <s v=""/>
    <d v="1899-12-30T16:30:00"/>
    <d v="1899-12-30T16:30:00"/>
    <s v=""/>
    <s v=""/>
    <d v="1899-12-30T16:30:00"/>
    <d v="1899-12-30T16:30:00"/>
    <s v=""/>
    <d v="1899-12-30T16:30:00"/>
    <d v="1899-12-30T16:30:00"/>
    <s v=""/>
    <s v=""/>
    <d v="1899-12-30T16:30:00"/>
  </r>
  <r>
    <x v="5"/>
    <s v="WH133321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d v="1899-12-30T08:00:00"/>
    <d v="1899-12-30T08:00:00"/>
    <s v="X"/>
    <s v="X"/>
    <s v="Z"/>
    <s v="Z"/>
    <s v="Z"/>
    <s v="Z"/>
    <s v="VAK"/>
    <s v="X"/>
    <s v="X"/>
    <s v="VAK"/>
  </r>
  <r>
    <x v="1"/>
    <m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d v="1899-12-30T16:30:00"/>
    <d v="1899-12-30T16:30:00"/>
    <s v=""/>
    <s v=""/>
    <s v=""/>
    <s v=""/>
    <s v=""/>
    <s v=""/>
    <s v=""/>
    <s v=""/>
    <s v=""/>
    <s v=""/>
  </r>
  <r>
    <x v="6"/>
    <s v="AY089920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d v="1899-12-30T08:00:00"/>
    <d v="1899-12-30T08:00:00"/>
    <s v="X"/>
    <s v="X"/>
    <d v="1899-12-30T08:00:00"/>
    <d v="1899-12-30T08:00:00"/>
    <d v="1899-12-30T08:00:00"/>
    <s v="VAK"/>
    <s v="VAK"/>
    <s v="X"/>
    <s v="X"/>
    <d v="1899-12-30T08:00:00"/>
    <d v="1899-12-30T08:00:00"/>
    <d v="1899-12-30T08:00:00"/>
    <d v="1899-12-30T08:00:00"/>
    <d v="1899-12-30T08:00:00"/>
    <s v="X"/>
    <s v="X"/>
    <d v="1899-12-30T08:00:00"/>
  </r>
  <r>
    <x v="1"/>
    <m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d v="1899-12-30T16:30:00"/>
    <d v="1899-12-30T16:30:00"/>
    <s v=""/>
    <s v=""/>
    <d v="1899-12-30T16:30:00"/>
    <d v="1899-12-30T16:30:00"/>
    <d v="1899-12-30T16:30:00"/>
    <s v=""/>
    <s v=""/>
    <s v=""/>
    <s v=""/>
    <d v="1899-12-30T16:30:00"/>
    <d v="1899-12-30T16:30:00"/>
    <d v="1899-12-30T16:30:00"/>
    <d v="1899-12-30T16:30:00"/>
    <d v="1899-12-30T16:30:00"/>
    <s v=""/>
    <s v=""/>
    <d v="1899-12-30T16:3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A441E-8014-4527-B396-1355EA38C228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32">
    <pivotField axis="axisRow" showAll="0">
      <items count="8">
        <item x="6"/>
        <item x="4"/>
        <item x="0"/>
        <item x="2"/>
        <item x="3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967A-9672-4D4D-AAA1-021AF49CD1ED}">
  <dimension ref="A3:A11"/>
  <sheetViews>
    <sheetView workbookViewId="0">
      <selection activeCell="B4" sqref="B4"/>
    </sheetView>
  </sheetViews>
  <sheetFormatPr defaultRowHeight="14.4" x14ac:dyDescent="0.3"/>
  <cols>
    <col min="1" max="1" width="16" bestFit="1" customWidth="1"/>
  </cols>
  <sheetData>
    <row r="3" spans="1:1" x14ac:dyDescent="0.3">
      <c r="A3" s="26" t="s">
        <v>22</v>
      </c>
    </row>
    <row r="4" spans="1:1" x14ac:dyDescent="0.3">
      <c r="A4" s="27" t="s">
        <v>11</v>
      </c>
    </row>
    <row r="5" spans="1:1" x14ac:dyDescent="0.3">
      <c r="A5" s="27" t="s">
        <v>9</v>
      </c>
    </row>
    <row r="6" spans="1:1" x14ac:dyDescent="0.3">
      <c r="A6" s="27" t="s">
        <v>0</v>
      </c>
    </row>
    <row r="7" spans="1:1" x14ac:dyDescent="0.3">
      <c r="A7" s="27" t="s">
        <v>7</v>
      </c>
    </row>
    <row r="8" spans="1:1" x14ac:dyDescent="0.3">
      <c r="A8" s="27" t="s">
        <v>8</v>
      </c>
    </row>
    <row r="9" spans="1:1" x14ac:dyDescent="0.3">
      <c r="A9" s="27" t="s">
        <v>10</v>
      </c>
    </row>
    <row r="10" spans="1:1" x14ac:dyDescent="0.3">
      <c r="A10" s="27" t="s">
        <v>23</v>
      </c>
    </row>
    <row r="11" spans="1:1" x14ac:dyDescent="0.3">
      <c r="A11" s="2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6AB0-00FA-4D56-86D1-D59E4F7E8589}">
  <dimension ref="A1:AG27"/>
  <sheetViews>
    <sheetView tabSelected="1" workbookViewId="0">
      <pane xSplit="2" topLeftCell="C1" activePane="topRight" state="frozen"/>
      <selection pane="topRight" activeCell="G28" sqref="G28"/>
    </sheetView>
  </sheetViews>
  <sheetFormatPr defaultRowHeight="14.4" x14ac:dyDescent="0.3"/>
  <cols>
    <col min="1" max="1" width="16" bestFit="1" customWidth="1"/>
    <col min="2" max="2" width="13.77734375" bestFit="1" customWidth="1"/>
    <col min="3" max="32" width="6.33203125" customWidth="1"/>
  </cols>
  <sheetData>
    <row r="1" spans="1:33" ht="15" customHeight="1" x14ac:dyDescent="0.3"/>
    <row r="2" spans="1:33" ht="36.6" customHeight="1" x14ac:dyDescent="0.3">
      <c r="C2" s="2" t="str">
        <f>" Werkschema "&amp;PROPER(TEXT(A5,"[$-413]mmmm yyyy"))</f>
        <v xml:space="preserve"> Werkschema November 2026</v>
      </c>
      <c r="D2" s="2"/>
      <c r="E2" s="2"/>
      <c r="F2" s="2"/>
      <c r="G2" s="2"/>
      <c r="H2" s="2"/>
      <c r="I2" s="2"/>
      <c r="J2" s="21"/>
    </row>
    <row r="3" spans="1:33" ht="11.4" customHeight="1" x14ac:dyDescent="0.3"/>
    <row r="4" spans="1:33" x14ac:dyDescent="0.3">
      <c r="A4" s="3" t="s">
        <v>4</v>
      </c>
      <c r="B4" s="12"/>
    </row>
    <row r="5" spans="1:33" x14ac:dyDescent="0.3">
      <c r="A5" s="4">
        <v>46327</v>
      </c>
      <c r="C5" s="19" t="s">
        <v>18</v>
      </c>
      <c r="D5" s="19"/>
      <c r="E5" s="18"/>
      <c r="F5" s="25" t="s">
        <v>19</v>
      </c>
      <c r="G5" s="25"/>
      <c r="H5" s="18"/>
      <c r="I5" s="20" t="s">
        <v>20</v>
      </c>
      <c r="J5" s="20"/>
    </row>
    <row r="6" spans="1:33" x14ac:dyDescent="0.3">
      <c r="C6" s="22">
        <f>COUNTIF(C11:AF22,"Z")</f>
        <v>8</v>
      </c>
      <c r="D6" s="22"/>
      <c r="E6" s="17"/>
      <c r="F6" s="24" cm="1">
        <f t="array" ref="F6">SUM(MMULT(--(C11:AF22="VRIJ"),TRANSPOSE(--(C$10:AF$10&lt;&gt;"Za")*--(C$10:AF$10&lt;&gt;"Zo"))))</f>
        <v>12</v>
      </c>
      <c r="G6" s="24"/>
      <c r="H6" s="17"/>
      <c r="I6" s="23">
        <f>COUNTIF(C11:AF22,"VAK")</f>
        <v>16</v>
      </c>
      <c r="J6" s="23"/>
    </row>
    <row r="7" spans="1:33" x14ac:dyDescent="0.3">
      <c r="C7" s="22"/>
      <c r="D7" s="22"/>
      <c r="E7" s="17"/>
      <c r="F7" s="24"/>
      <c r="G7" s="24"/>
      <c r="H7" s="17"/>
      <c r="I7" s="23"/>
      <c r="J7" s="23"/>
    </row>
    <row r="9" spans="1:33" s="5" customFormat="1" ht="22.8" customHeight="1" x14ac:dyDescent="0.35">
      <c r="C9" s="9" t="str">
        <f>TEXT($A$5+COLUMN(A5)-1,"[$-413]d")</f>
        <v>1</v>
      </c>
      <c r="D9" s="9" t="str">
        <f t="shared" ref="D9:AG9" si="0">TEXT($A$5+COLUMN(B5)-1,"[$-413]d")</f>
        <v>2</v>
      </c>
      <c r="E9" s="9" t="str">
        <f t="shared" si="0"/>
        <v>3</v>
      </c>
      <c r="F9" s="9" t="str">
        <f t="shared" si="0"/>
        <v>4</v>
      </c>
      <c r="G9" s="9" t="str">
        <f t="shared" si="0"/>
        <v>5</v>
      </c>
      <c r="H9" s="9" t="str">
        <f t="shared" si="0"/>
        <v>6</v>
      </c>
      <c r="I9" s="9" t="str">
        <f>TEXT($A$5+COLUMN(G5)-1,"[$-413]d")</f>
        <v>7</v>
      </c>
      <c r="J9" s="9" t="str">
        <f>TEXT($A$5+COLUMN(H5)-1,"[$-413]d")</f>
        <v>8</v>
      </c>
      <c r="K9" s="9" t="str">
        <f t="shared" si="0"/>
        <v>9</v>
      </c>
      <c r="L9" s="9" t="str">
        <f>TEXT($A$5+COLUMN(J5)-1,"[$-413]d")</f>
        <v>10</v>
      </c>
      <c r="M9" s="9" t="str">
        <f>TEXT($A$5+COLUMN(K5)-1,"[$-413]d")</f>
        <v>11</v>
      </c>
      <c r="N9" s="9" t="str">
        <f t="shared" si="0"/>
        <v>12</v>
      </c>
      <c r="O9" s="9" t="str">
        <f t="shared" si="0"/>
        <v>13</v>
      </c>
      <c r="P9" s="9" t="str">
        <f t="shared" si="0"/>
        <v>14</v>
      </c>
      <c r="Q9" s="9" t="str">
        <f t="shared" si="0"/>
        <v>15</v>
      </c>
      <c r="R9" s="9" t="str">
        <f t="shared" si="0"/>
        <v>16</v>
      </c>
      <c r="S9" s="9" t="str">
        <f t="shared" si="0"/>
        <v>17</v>
      </c>
      <c r="T9" s="9" t="str">
        <f t="shared" si="0"/>
        <v>18</v>
      </c>
      <c r="U9" s="9" t="str">
        <f t="shared" si="0"/>
        <v>19</v>
      </c>
      <c r="V9" s="9" t="str">
        <f t="shared" si="0"/>
        <v>20</v>
      </c>
      <c r="W9" s="9" t="str">
        <f t="shared" si="0"/>
        <v>21</v>
      </c>
      <c r="X9" s="9" t="str">
        <f t="shared" si="0"/>
        <v>22</v>
      </c>
      <c r="Y9" s="9" t="str">
        <f t="shared" si="0"/>
        <v>23</v>
      </c>
      <c r="Z9" s="9" t="str">
        <f t="shared" si="0"/>
        <v>24</v>
      </c>
      <c r="AA9" s="9" t="str">
        <f t="shared" si="0"/>
        <v>25</v>
      </c>
      <c r="AB9" s="9" t="str">
        <f t="shared" si="0"/>
        <v>26</v>
      </c>
      <c r="AC9" s="9" t="str">
        <f t="shared" si="0"/>
        <v>27</v>
      </c>
      <c r="AD9" s="9" t="str">
        <f t="shared" si="0"/>
        <v>28</v>
      </c>
      <c r="AE9" s="9" t="str">
        <f t="shared" si="0"/>
        <v>29</v>
      </c>
      <c r="AF9" s="9" t="str">
        <f t="shared" si="0"/>
        <v>30</v>
      </c>
      <c r="AG9" s="15" t="str">
        <f t="shared" si="0"/>
        <v>1</v>
      </c>
    </row>
    <row r="10" spans="1:33" s="6" customFormat="1" ht="15.6" x14ac:dyDescent="0.3">
      <c r="A10" s="11" t="s">
        <v>5</v>
      </c>
      <c r="B10" s="11" t="s">
        <v>6</v>
      </c>
      <c r="C10" s="10" t="str">
        <f>PROPER(TEXT($A$5 + COLUMN(A1) - 1, "[$-413]ddd"))</f>
        <v>Zo</v>
      </c>
      <c r="D10" s="10" t="str">
        <f t="shared" ref="D10:AF10" si="1">PROPER(TEXT($A$5 + COLUMN(B1) - 1, "[$-413]ddd"))</f>
        <v>Ma</v>
      </c>
      <c r="E10" s="10" t="str">
        <f t="shared" si="1"/>
        <v>Di</v>
      </c>
      <c r="F10" s="10" t="str">
        <f t="shared" si="1"/>
        <v>Wo</v>
      </c>
      <c r="G10" s="10" t="str">
        <f t="shared" si="1"/>
        <v>Do</v>
      </c>
      <c r="H10" s="10" t="str">
        <f t="shared" si="1"/>
        <v>Vr</v>
      </c>
      <c r="I10" s="10" t="str">
        <f t="shared" si="1"/>
        <v>Za</v>
      </c>
      <c r="J10" s="10" t="str">
        <f t="shared" si="1"/>
        <v>Zo</v>
      </c>
      <c r="K10" s="10" t="str">
        <f t="shared" si="1"/>
        <v>Ma</v>
      </c>
      <c r="L10" s="10" t="str">
        <f t="shared" si="1"/>
        <v>Di</v>
      </c>
      <c r="M10" s="10" t="str">
        <f t="shared" si="1"/>
        <v>Wo</v>
      </c>
      <c r="N10" s="10" t="str">
        <f t="shared" si="1"/>
        <v>Do</v>
      </c>
      <c r="O10" s="10" t="str">
        <f t="shared" si="1"/>
        <v>Vr</v>
      </c>
      <c r="P10" s="10" t="str">
        <f t="shared" si="1"/>
        <v>Za</v>
      </c>
      <c r="Q10" s="10" t="str">
        <f t="shared" si="1"/>
        <v>Zo</v>
      </c>
      <c r="R10" s="10" t="str">
        <f t="shared" si="1"/>
        <v>Ma</v>
      </c>
      <c r="S10" s="10" t="str">
        <f t="shared" si="1"/>
        <v>Di</v>
      </c>
      <c r="T10" s="10" t="str">
        <f t="shared" si="1"/>
        <v>Wo</v>
      </c>
      <c r="U10" s="10" t="str">
        <f t="shared" si="1"/>
        <v>Do</v>
      </c>
      <c r="V10" s="10" t="str">
        <f t="shared" si="1"/>
        <v>Vr</v>
      </c>
      <c r="W10" s="10" t="str">
        <f t="shared" si="1"/>
        <v>Za</v>
      </c>
      <c r="X10" s="10" t="str">
        <f t="shared" si="1"/>
        <v>Zo</v>
      </c>
      <c r="Y10" s="10" t="str">
        <f t="shared" si="1"/>
        <v>Ma</v>
      </c>
      <c r="Z10" s="10" t="str">
        <f t="shared" si="1"/>
        <v>Di</v>
      </c>
      <c r="AA10" s="10" t="str">
        <f t="shared" si="1"/>
        <v>Wo</v>
      </c>
      <c r="AB10" s="10" t="str">
        <f t="shared" si="1"/>
        <v>Do</v>
      </c>
      <c r="AC10" s="10" t="str">
        <f t="shared" si="1"/>
        <v>Vr</v>
      </c>
      <c r="AD10" s="10" t="str">
        <f t="shared" si="1"/>
        <v>Za</v>
      </c>
      <c r="AE10" s="10" t="str">
        <f t="shared" si="1"/>
        <v>Zo</v>
      </c>
      <c r="AF10" s="10" t="str">
        <f t="shared" si="1"/>
        <v>Ma</v>
      </c>
      <c r="AG10" s="7" t="str">
        <f>PROPER(TEXT($A$5 + COLUMN(AE1) - 1, "[$-413]ddd"))</f>
        <v>Di</v>
      </c>
    </row>
    <row r="11" spans="1:33" x14ac:dyDescent="0.3">
      <c r="A11" s="8" t="s">
        <v>0</v>
      </c>
      <c r="B11" s="4" t="s">
        <v>12</v>
      </c>
      <c r="C11" s="1" t="s">
        <v>21</v>
      </c>
      <c r="D11" s="1">
        <v>0.33333333333333331</v>
      </c>
      <c r="E11" s="1">
        <v>0.33333333333333331</v>
      </c>
      <c r="F11" s="1">
        <v>0.33333333333333331</v>
      </c>
      <c r="G11" s="1">
        <v>0.33333333333333331</v>
      </c>
      <c r="H11" s="1">
        <v>0.33333333333333331</v>
      </c>
      <c r="I11" s="1" t="s">
        <v>21</v>
      </c>
      <c r="J11" s="1" t="s">
        <v>21</v>
      </c>
      <c r="K11" s="1">
        <v>0.33333333333333331</v>
      </c>
      <c r="L11" s="1">
        <v>0.33333333333333331</v>
      </c>
      <c r="M11" s="1">
        <v>0.33333333333333331</v>
      </c>
      <c r="N11" s="1">
        <v>0.33333333333333331</v>
      </c>
      <c r="O11" s="1" t="s">
        <v>2</v>
      </c>
      <c r="P11" s="1" t="s">
        <v>21</v>
      </c>
      <c r="Q11" s="1" t="s">
        <v>21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2</v>
      </c>
      <c r="W11" s="1" t="s">
        <v>21</v>
      </c>
      <c r="X11" s="1" t="s">
        <v>21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2</v>
      </c>
      <c r="AD11" s="1" t="s">
        <v>21</v>
      </c>
      <c r="AE11" s="1" t="s">
        <v>21</v>
      </c>
      <c r="AF11" s="1">
        <v>0.33333333333333331</v>
      </c>
    </row>
    <row r="12" spans="1:33" x14ac:dyDescent="0.3">
      <c r="C12" s="1" t="str">
        <f>IF(OR(C11="Vrij",C11="Vak",C11="Z",C11="X"),"",C11+TIME(8,30,0))</f>
        <v/>
      </c>
      <c r="D12" s="1">
        <f t="shared" ref="D12:AF12" si="2">IF(OR(D11="Vrij",D11="Vak",D11="Z",D11="X"),"",D11+TIME(8,30,0))</f>
        <v>0.6875</v>
      </c>
      <c r="E12" s="1">
        <f t="shared" si="2"/>
        <v>0.6875</v>
      </c>
      <c r="F12" s="1">
        <f t="shared" si="2"/>
        <v>0.6875</v>
      </c>
      <c r="G12" s="1">
        <f t="shared" si="2"/>
        <v>0.6875</v>
      </c>
      <c r="H12" s="1">
        <f t="shared" si="2"/>
        <v>0.6875</v>
      </c>
      <c r="I12" s="1" t="str">
        <f t="shared" si="2"/>
        <v/>
      </c>
      <c r="J12" s="1" t="str">
        <f t="shared" si="2"/>
        <v/>
      </c>
      <c r="K12" s="1">
        <f t="shared" si="2"/>
        <v>0.6875</v>
      </c>
      <c r="L12" s="1">
        <f t="shared" si="2"/>
        <v>0.6875</v>
      </c>
      <c r="M12" s="1">
        <f t="shared" si="2"/>
        <v>0.6875</v>
      </c>
      <c r="N12" s="1">
        <f t="shared" si="2"/>
        <v>0.6875</v>
      </c>
      <c r="O12" s="1" t="str">
        <f t="shared" si="2"/>
        <v/>
      </c>
      <c r="P12" s="1" t="str">
        <f t="shared" si="2"/>
        <v/>
      </c>
      <c r="Q12" s="1" t="str">
        <f t="shared" si="2"/>
        <v/>
      </c>
      <c r="R12" s="1" t="str">
        <f t="shared" si="2"/>
        <v/>
      </c>
      <c r="S12" s="1" t="str">
        <f t="shared" si="2"/>
        <v/>
      </c>
      <c r="T12" s="1" t="str">
        <f t="shared" si="2"/>
        <v/>
      </c>
      <c r="U12" s="1" t="str">
        <f t="shared" si="2"/>
        <v/>
      </c>
      <c r="V12" s="1" t="str">
        <f t="shared" si="2"/>
        <v/>
      </c>
      <c r="W12" s="1" t="str">
        <f t="shared" si="2"/>
        <v/>
      </c>
      <c r="X12" s="1" t="str">
        <f t="shared" si="2"/>
        <v/>
      </c>
      <c r="Y12" s="1" t="str">
        <f t="shared" si="2"/>
        <v/>
      </c>
      <c r="Z12" s="1" t="str">
        <f t="shared" si="2"/>
        <v/>
      </c>
      <c r="AA12" s="1" t="str">
        <f t="shared" si="2"/>
        <v/>
      </c>
      <c r="AB12" s="1" t="str">
        <f t="shared" si="2"/>
        <v/>
      </c>
      <c r="AC12" s="1" t="str">
        <f t="shared" si="2"/>
        <v/>
      </c>
      <c r="AD12" s="1" t="str">
        <f t="shared" si="2"/>
        <v/>
      </c>
      <c r="AE12" s="1" t="str">
        <f t="shared" si="2"/>
        <v/>
      </c>
      <c r="AF12" s="1">
        <f t="shared" si="2"/>
        <v>0.6875</v>
      </c>
    </row>
    <row r="13" spans="1:33" x14ac:dyDescent="0.3">
      <c r="A13" s="8" t="s">
        <v>7</v>
      </c>
      <c r="B13" s="4" t="s">
        <v>13</v>
      </c>
      <c r="C13" s="1" t="s">
        <v>21</v>
      </c>
      <c r="D13" s="1">
        <v>0.33333333333333331</v>
      </c>
      <c r="E13" s="1">
        <v>0.33333333333333331</v>
      </c>
      <c r="F13" s="1">
        <v>0.33333333333333331</v>
      </c>
      <c r="G13" s="1" t="s">
        <v>3</v>
      </c>
      <c r="H13" s="1" t="s">
        <v>3</v>
      </c>
      <c r="I13" s="1" t="s">
        <v>21</v>
      </c>
      <c r="J13" s="1" t="s">
        <v>21</v>
      </c>
      <c r="K13" s="1">
        <v>0.33333333333333331</v>
      </c>
      <c r="L13" s="1">
        <v>0.33333333333333331</v>
      </c>
      <c r="M13" s="1">
        <v>0.33333333333333331</v>
      </c>
      <c r="N13" s="1">
        <v>0.33333333333333331</v>
      </c>
      <c r="O13" s="1">
        <v>0.33333333333333331</v>
      </c>
      <c r="P13" s="1" t="s">
        <v>21</v>
      </c>
      <c r="Q13" s="1" t="s">
        <v>21</v>
      </c>
      <c r="R13" s="1">
        <v>0.33333333333333331</v>
      </c>
      <c r="S13" s="1">
        <v>0.33333333333333331</v>
      </c>
      <c r="T13" s="1">
        <v>0.33333333333333331</v>
      </c>
      <c r="U13" s="1">
        <v>0.33333333333333331</v>
      </c>
      <c r="V13" s="1">
        <v>0.33333333333333331</v>
      </c>
      <c r="W13" s="1" t="s">
        <v>21</v>
      </c>
      <c r="X13" s="1" t="s">
        <v>21</v>
      </c>
      <c r="Y13" s="1">
        <v>0.33333333333333331</v>
      </c>
      <c r="Z13" s="1">
        <v>0.33333333333333331</v>
      </c>
      <c r="AA13" s="1">
        <v>0.33333333333333331</v>
      </c>
      <c r="AB13" s="1">
        <v>0.33333333333333331</v>
      </c>
      <c r="AC13" s="1">
        <v>0.33333333333333331</v>
      </c>
      <c r="AD13" s="1" t="s">
        <v>21</v>
      </c>
      <c r="AE13" s="1" t="s">
        <v>21</v>
      </c>
      <c r="AF13" s="1">
        <v>0.33333333333333331</v>
      </c>
    </row>
    <row r="14" spans="1:33" x14ac:dyDescent="0.3">
      <c r="C14" s="1" t="str">
        <f>IF(OR(C13="Vrij",C13="Vak",C13="Z",C13="X"),"",C13+TIME(8,30,0))</f>
        <v/>
      </c>
      <c r="D14" s="1">
        <f t="shared" ref="D14" si="3">IF(OR(D13="Vrij",D13="Vak",D13="Z",D13="X"),"",D13+TIME(8,30,0))</f>
        <v>0.6875</v>
      </c>
      <c r="E14" s="1">
        <f t="shared" ref="E14" si="4">IF(OR(E13="Vrij",E13="Vak",E13="Z",E13="X"),"",E13+TIME(8,30,0))</f>
        <v>0.6875</v>
      </c>
      <c r="F14" s="1">
        <f t="shared" ref="F14" si="5">IF(OR(F13="Vrij",F13="Vak",F13="Z",F13="X"),"",F13+TIME(8,30,0))</f>
        <v>0.6875</v>
      </c>
      <c r="G14" s="1" t="str">
        <f t="shared" ref="G14" si="6">IF(OR(G13="Vrij",G13="Vak",G13="Z",G13="X"),"",G13+TIME(8,30,0))</f>
        <v/>
      </c>
      <c r="H14" s="1" t="str">
        <f t="shared" ref="H14" si="7">IF(OR(H13="Vrij",H13="Vak",H13="Z",H13="X"),"",H13+TIME(8,30,0))</f>
        <v/>
      </c>
      <c r="I14" s="1" t="str">
        <f t="shared" ref="I14" si="8">IF(OR(I13="Vrij",I13="Vak",I13="Z",I13="X"),"",I13+TIME(8,30,0))</f>
        <v/>
      </c>
      <c r="J14" s="1" t="str">
        <f t="shared" ref="J14" si="9">IF(OR(J13="Vrij",J13="Vak",J13="Z",J13="X"),"",J13+TIME(8,30,0))</f>
        <v/>
      </c>
      <c r="K14" s="1">
        <f t="shared" ref="K14" si="10">IF(OR(K13="Vrij",K13="Vak",K13="Z",K13="X"),"",K13+TIME(8,30,0))</f>
        <v>0.6875</v>
      </c>
      <c r="L14" s="1">
        <f t="shared" ref="L14" si="11">IF(OR(L13="Vrij",L13="Vak",L13="Z",L13="X"),"",L13+TIME(8,30,0))</f>
        <v>0.6875</v>
      </c>
      <c r="M14" s="1">
        <f t="shared" ref="M14" si="12">IF(OR(M13="Vrij",M13="Vak",M13="Z",M13="X"),"",M13+TIME(8,30,0))</f>
        <v>0.6875</v>
      </c>
      <c r="N14" s="1">
        <f t="shared" ref="N14" si="13">IF(OR(N13="Vrij",N13="Vak",N13="Z",N13="X"),"",N13+TIME(8,30,0))</f>
        <v>0.6875</v>
      </c>
      <c r="O14" s="1">
        <f t="shared" ref="O14" si="14">IF(OR(O13="Vrij",O13="Vak",O13="Z",O13="X"),"",O13+TIME(8,30,0))</f>
        <v>0.6875</v>
      </c>
      <c r="P14" s="1" t="str">
        <f t="shared" ref="P14" si="15">IF(OR(P13="Vrij",P13="Vak",P13="Z",P13="X"),"",P13+TIME(8,30,0))</f>
        <v/>
      </c>
      <c r="Q14" s="1" t="str">
        <f t="shared" ref="Q14" si="16">IF(OR(Q13="Vrij",Q13="Vak",Q13="Z",Q13="X"),"",Q13+TIME(8,30,0))</f>
        <v/>
      </c>
      <c r="R14" s="1">
        <f t="shared" ref="R14" si="17">IF(OR(R13="Vrij",R13="Vak",R13="Z",R13="X"),"",R13+TIME(8,30,0))</f>
        <v>0.6875</v>
      </c>
      <c r="S14" s="1">
        <f t="shared" ref="S14" si="18">IF(OR(S13="Vrij",S13="Vak",S13="Z",S13="X"),"",S13+TIME(8,30,0))</f>
        <v>0.6875</v>
      </c>
      <c r="T14" s="1">
        <f t="shared" ref="T14" si="19">IF(OR(T13="Vrij",T13="Vak",T13="Z",T13="X"),"",T13+TIME(8,30,0))</f>
        <v>0.6875</v>
      </c>
      <c r="U14" s="1">
        <f t="shared" ref="U14" si="20">IF(OR(U13="Vrij",U13="Vak",U13="Z",U13="X"),"",U13+TIME(8,30,0))</f>
        <v>0.6875</v>
      </c>
      <c r="V14" s="1">
        <f t="shared" ref="V14" si="21">IF(OR(V13="Vrij",V13="Vak",V13="Z",V13="X"),"",V13+TIME(8,30,0))</f>
        <v>0.6875</v>
      </c>
      <c r="W14" s="1" t="str">
        <f t="shared" ref="W14" si="22">IF(OR(W13="Vrij",W13="Vak",W13="Z",W13="X"),"",W13+TIME(8,30,0))</f>
        <v/>
      </c>
      <c r="X14" s="1" t="str">
        <f t="shared" ref="X14" si="23">IF(OR(X13="Vrij",X13="Vak",X13="Z",X13="X"),"",X13+TIME(8,30,0))</f>
        <v/>
      </c>
      <c r="Y14" s="1">
        <f t="shared" ref="Y14" si="24">IF(OR(Y13="Vrij",Y13="Vak",Y13="Z",Y13="X"),"",Y13+TIME(8,30,0))</f>
        <v>0.6875</v>
      </c>
      <c r="Z14" s="1">
        <f t="shared" ref="Z14" si="25">IF(OR(Z13="Vrij",Z13="Vak",Z13="Z",Z13="X"),"",Z13+TIME(8,30,0))</f>
        <v>0.6875</v>
      </c>
      <c r="AA14" s="1">
        <f t="shared" ref="AA14" si="26">IF(OR(AA13="Vrij",AA13="Vak",AA13="Z",AA13="X"),"",AA13+TIME(8,30,0))</f>
        <v>0.6875</v>
      </c>
      <c r="AB14" s="1">
        <f t="shared" ref="AB14" si="27">IF(OR(AB13="Vrij",AB13="Vak",AB13="Z",AB13="X"),"",AB13+TIME(8,30,0))</f>
        <v>0.6875</v>
      </c>
      <c r="AC14" s="1">
        <f t="shared" ref="AC14" si="28">IF(OR(AC13="Vrij",AC13="Vak",AC13="Z",AC13="X"),"",AC13+TIME(8,30,0))</f>
        <v>0.6875</v>
      </c>
      <c r="AD14" s="1" t="str">
        <f t="shared" ref="AD14" si="29">IF(OR(AD13="Vrij",AD13="Vak",AD13="Z",AD13="X"),"",AD13+TIME(8,30,0))</f>
        <v/>
      </c>
      <c r="AE14" s="1" t="str">
        <f t="shared" ref="AE14" si="30">IF(OR(AE13="Vrij",AE13="Vak",AE13="Z",AE13="X"),"",AE13+TIME(8,30,0))</f>
        <v/>
      </c>
      <c r="AF14" s="1">
        <f t="shared" ref="AF14" si="31">IF(OR(AF13="Vrij",AF13="Vak",AF13="Z",AF13="X"),"",AF13+TIME(8,30,0))</f>
        <v>0.6875</v>
      </c>
    </row>
    <row r="15" spans="1:33" x14ac:dyDescent="0.3">
      <c r="A15" s="8" t="s">
        <v>8</v>
      </c>
      <c r="B15" s="4" t="s">
        <v>14</v>
      </c>
      <c r="C15" s="1" t="s">
        <v>21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2</v>
      </c>
      <c r="I15" s="1" t="s">
        <v>21</v>
      </c>
      <c r="J15" s="1" t="s">
        <v>21</v>
      </c>
      <c r="K15" s="1" t="s">
        <v>2</v>
      </c>
      <c r="L15" s="1" t="s">
        <v>3</v>
      </c>
      <c r="M15" s="1" t="s">
        <v>3</v>
      </c>
      <c r="N15" s="1">
        <v>0.33333333333333331</v>
      </c>
      <c r="O15" s="1">
        <v>0.33333333333333331</v>
      </c>
      <c r="P15" s="1" t="s">
        <v>21</v>
      </c>
      <c r="Q15" s="1" t="s">
        <v>21</v>
      </c>
      <c r="R15" s="1" t="s">
        <v>2</v>
      </c>
      <c r="S15" s="1">
        <v>0.33333333333333331</v>
      </c>
      <c r="T15" s="1">
        <v>0.33333333333333331</v>
      </c>
      <c r="U15" s="1">
        <v>0.33333333333333331</v>
      </c>
      <c r="V15" s="1">
        <v>0.33333333333333331</v>
      </c>
      <c r="W15" s="1" t="s">
        <v>21</v>
      </c>
      <c r="X15" s="1" t="s">
        <v>21</v>
      </c>
      <c r="Y15" s="1" t="s">
        <v>2</v>
      </c>
      <c r="Z15" s="1">
        <v>0.33333333333333331</v>
      </c>
      <c r="AA15" s="1">
        <v>0.33333333333333331</v>
      </c>
      <c r="AB15" s="1">
        <v>0.33333333333333331</v>
      </c>
      <c r="AC15" s="1">
        <v>0.33333333333333331</v>
      </c>
      <c r="AD15" s="1" t="s">
        <v>21</v>
      </c>
      <c r="AE15" s="1" t="s">
        <v>21</v>
      </c>
      <c r="AF15" s="1" t="s">
        <v>2</v>
      </c>
    </row>
    <row r="16" spans="1:33" x14ac:dyDescent="0.3">
      <c r="C16" s="1" t="str">
        <f>IF(OR(C15="Vrij",C15="Vak",C15="Z",C15="X"),"",C15+TIME(8,30,0))</f>
        <v/>
      </c>
      <c r="D16" s="1" t="str">
        <f t="shared" ref="D16" si="32">IF(OR(D15="Vrij",D15="Vak",D15="Z",D15="X"),"",D15+TIME(8,30,0))</f>
        <v/>
      </c>
      <c r="E16" s="1" t="str">
        <f t="shared" ref="E16" si="33">IF(OR(E15="Vrij",E15="Vak",E15="Z",E15="X"),"",E15+TIME(8,30,0))</f>
        <v/>
      </c>
      <c r="F16" s="1" t="str">
        <f t="shared" ref="F16" si="34">IF(OR(F15="Vrij",F15="Vak",F15="Z",F15="X"),"",F15+TIME(8,30,0))</f>
        <v/>
      </c>
      <c r="G16" s="1" t="str">
        <f t="shared" ref="G16" si="35">IF(OR(G15="Vrij",G15="Vak",G15="Z",G15="X"),"",G15+TIME(8,30,0))</f>
        <v/>
      </c>
      <c r="H16" s="1" t="str">
        <f t="shared" ref="H16" si="36">IF(OR(H15="Vrij",H15="Vak",H15="Z",H15="X"),"",H15+TIME(8,30,0))</f>
        <v/>
      </c>
      <c r="I16" s="1" t="str">
        <f t="shared" ref="I16" si="37">IF(OR(I15="Vrij",I15="Vak",I15="Z",I15="X"),"",I15+TIME(8,30,0))</f>
        <v/>
      </c>
      <c r="J16" s="1" t="str">
        <f t="shared" ref="J16" si="38">IF(OR(J15="Vrij",J15="Vak",J15="Z",J15="X"),"",J15+TIME(8,30,0))</f>
        <v/>
      </c>
      <c r="K16" s="1" t="str">
        <f t="shared" ref="K16" si="39">IF(OR(K15="Vrij",K15="Vak",K15="Z",K15="X"),"",K15+TIME(8,30,0))</f>
        <v/>
      </c>
      <c r="L16" s="1" t="str">
        <f t="shared" ref="L16" si="40">IF(OR(L15="Vrij",L15="Vak",L15="Z",L15="X"),"",L15+TIME(8,30,0))</f>
        <v/>
      </c>
      <c r="M16" s="1" t="str">
        <f t="shared" ref="M16" si="41">IF(OR(M15="Vrij",M15="Vak",M15="Z",M15="X"),"",M15+TIME(8,30,0))</f>
        <v/>
      </c>
      <c r="N16" s="1">
        <f t="shared" ref="N16" si="42">IF(OR(N15="Vrij",N15="Vak",N15="Z",N15="X"),"",N15+TIME(8,30,0))</f>
        <v>0.6875</v>
      </c>
      <c r="O16" s="1">
        <f t="shared" ref="O16" si="43">IF(OR(O15="Vrij",O15="Vak",O15="Z",O15="X"),"",O15+TIME(8,30,0))</f>
        <v>0.6875</v>
      </c>
      <c r="P16" s="1" t="str">
        <f t="shared" ref="P16" si="44">IF(OR(P15="Vrij",P15="Vak",P15="Z",P15="X"),"",P15+TIME(8,30,0))</f>
        <v/>
      </c>
      <c r="Q16" s="1" t="str">
        <f t="shared" ref="Q16" si="45">IF(OR(Q15="Vrij",Q15="Vak",Q15="Z",Q15="X"),"",Q15+TIME(8,30,0))</f>
        <v/>
      </c>
      <c r="R16" s="1" t="str">
        <f t="shared" ref="R16" si="46">IF(OR(R15="Vrij",R15="Vak",R15="Z",R15="X"),"",R15+TIME(8,30,0))</f>
        <v/>
      </c>
      <c r="S16" s="1">
        <f t="shared" ref="S16" si="47">IF(OR(S15="Vrij",S15="Vak",S15="Z",S15="X"),"",S15+TIME(8,30,0))</f>
        <v>0.6875</v>
      </c>
      <c r="T16" s="1">
        <f t="shared" ref="T16" si="48">IF(OR(T15="Vrij",T15="Vak",T15="Z",T15="X"),"",T15+TIME(8,30,0))</f>
        <v>0.6875</v>
      </c>
      <c r="U16" s="1">
        <f t="shared" ref="U16" si="49">IF(OR(U15="Vrij",U15="Vak",U15="Z",U15="X"),"",U15+TIME(8,30,0))</f>
        <v>0.6875</v>
      </c>
      <c r="V16" s="1">
        <f t="shared" ref="V16" si="50">IF(OR(V15="Vrij",V15="Vak",V15="Z",V15="X"),"",V15+TIME(8,30,0))</f>
        <v>0.6875</v>
      </c>
      <c r="W16" s="1" t="str">
        <f t="shared" ref="W16" si="51">IF(OR(W15="Vrij",W15="Vak",W15="Z",W15="X"),"",W15+TIME(8,30,0))</f>
        <v/>
      </c>
      <c r="X16" s="1" t="str">
        <f t="shared" ref="X16" si="52">IF(OR(X15="Vrij",X15="Vak",X15="Z",X15="X"),"",X15+TIME(8,30,0))</f>
        <v/>
      </c>
      <c r="Y16" s="1" t="str">
        <f t="shared" ref="Y16" si="53">IF(OR(Y15="Vrij",Y15="Vak",Y15="Z",Y15="X"),"",Y15+TIME(8,30,0))</f>
        <v/>
      </c>
      <c r="Z16" s="1">
        <f t="shared" ref="Z16" si="54">IF(OR(Z15="Vrij",Z15="Vak",Z15="Z",Z15="X"),"",Z15+TIME(8,30,0))</f>
        <v>0.6875</v>
      </c>
      <c r="AA16" s="1">
        <f t="shared" ref="AA16" si="55">IF(OR(AA15="Vrij",AA15="Vak",AA15="Z",AA15="X"),"",AA15+TIME(8,30,0))</f>
        <v>0.6875</v>
      </c>
      <c r="AB16" s="1">
        <f t="shared" ref="AB16" si="56">IF(OR(AB15="Vrij",AB15="Vak",AB15="Z",AB15="X"),"",AB15+TIME(8,30,0))</f>
        <v>0.6875</v>
      </c>
      <c r="AC16" s="1">
        <f t="shared" ref="AC16" si="57">IF(OR(AC15="Vrij",AC15="Vak",AC15="Z",AC15="X"),"",AC15+TIME(8,30,0))</f>
        <v>0.6875</v>
      </c>
      <c r="AD16" s="1" t="str">
        <f t="shared" ref="AD16" si="58">IF(OR(AD15="Vrij",AD15="Vak",AD15="Z",AD15="X"),"",AD15+TIME(8,30,0))</f>
        <v/>
      </c>
      <c r="AE16" s="1" t="str">
        <f t="shared" ref="AE16" si="59">IF(OR(AE15="Vrij",AE15="Vak",AE15="Z",AE15="X"),"",AE15+TIME(8,30,0))</f>
        <v/>
      </c>
      <c r="AF16" s="1" t="str">
        <f t="shared" ref="AF16" si="60">IF(OR(AF15="Vrij",AF15="Vak",AF15="Z",AF15="X"),"",AF15+TIME(8,30,0))</f>
        <v/>
      </c>
    </row>
    <row r="17" spans="1:32" x14ac:dyDescent="0.3">
      <c r="A17" s="8" t="s">
        <v>9</v>
      </c>
      <c r="B17" s="4" t="s">
        <v>15</v>
      </c>
      <c r="C17" s="1" t="s">
        <v>21</v>
      </c>
      <c r="D17" s="1">
        <v>0.33333333333333331</v>
      </c>
      <c r="E17" s="1">
        <v>0.33333333333333331</v>
      </c>
      <c r="F17" s="1" t="s">
        <v>2</v>
      </c>
      <c r="G17" s="1">
        <v>0.33333333333333331</v>
      </c>
      <c r="H17" s="1">
        <v>0.33333333333333331</v>
      </c>
      <c r="I17" s="1" t="s">
        <v>21</v>
      </c>
      <c r="J17" s="1" t="s">
        <v>21</v>
      </c>
      <c r="K17" s="1">
        <v>0.33333333333333331</v>
      </c>
      <c r="L17" s="1">
        <v>0.33333333333333331</v>
      </c>
      <c r="M17" s="1" t="s">
        <v>2</v>
      </c>
      <c r="N17" s="1">
        <v>0.33333333333333331</v>
      </c>
      <c r="O17" s="1">
        <v>0.33333333333333331</v>
      </c>
      <c r="P17" s="1" t="s">
        <v>21</v>
      </c>
      <c r="Q17" s="1" t="s">
        <v>21</v>
      </c>
      <c r="R17" s="1">
        <v>0.33333333333333331</v>
      </c>
      <c r="S17" s="1">
        <v>0.33333333333333331</v>
      </c>
      <c r="T17" s="1" t="s">
        <v>2</v>
      </c>
      <c r="U17" s="1">
        <v>0.33333333333333331</v>
      </c>
      <c r="V17" s="1">
        <v>0.33333333333333331</v>
      </c>
      <c r="W17" s="1" t="s">
        <v>21</v>
      </c>
      <c r="X17" s="1" t="s">
        <v>21</v>
      </c>
      <c r="Y17" s="1">
        <v>0.33333333333333331</v>
      </c>
      <c r="Z17" s="1">
        <v>0.33333333333333331</v>
      </c>
      <c r="AA17" s="1" t="s">
        <v>2</v>
      </c>
      <c r="AB17" s="1">
        <v>0.33333333333333331</v>
      </c>
      <c r="AC17" s="1">
        <v>0.33333333333333331</v>
      </c>
      <c r="AD17" s="1" t="s">
        <v>21</v>
      </c>
      <c r="AE17" s="1" t="s">
        <v>21</v>
      </c>
      <c r="AF17" s="1">
        <v>0.33333333333333331</v>
      </c>
    </row>
    <row r="18" spans="1:32" x14ac:dyDescent="0.3">
      <c r="C18" s="1" t="str">
        <f>IF(OR(C17="Vrij",C17="Vak",C17="Z",C17="X"),"",C17+TIME(8,30,0))</f>
        <v/>
      </c>
      <c r="D18" s="1">
        <f t="shared" ref="D18" si="61">IF(OR(D17="Vrij",D17="Vak",D17="Z",D17="X"),"",D17+TIME(8,30,0))</f>
        <v>0.6875</v>
      </c>
      <c r="E18" s="1">
        <f t="shared" ref="E18" si="62">IF(OR(E17="Vrij",E17="Vak",E17="Z",E17="X"),"",E17+TIME(8,30,0))</f>
        <v>0.6875</v>
      </c>
      <c r="F18" s="1" t="str">
        <f t="shared" ref="F18" si="63">IF(OR(F17="Vrij",F17="Vak",F17="Z",F17="X"),"",F17+TIME(8,30,0))</f>
        <v/>
      </c>
      <c r="G18" s="1">
        <f t="shared" ref="G18" si="64">IF(OR(G17="Vrij",G17="Vak",G17="Z",G17="X"),"",G17+TIME(8,30,0))</f>
        <v>0.6875</v>
      </c>
      <c r="H18" s="1">
        <f t="shared" ref="H18" si="65">IF(OR(H17="Vrij",H17="Vak",H17="Z",H17="X"),"",H17+TIME(8,30,0))</f>
        <v>0.6875</v>
      </c>
      <c r="I18" s="1" t="str">
        <f t="shared" ref="I18" si="66">IF(OR(I17="Vrij",I17="Vak",I17="Z",I17="X"),"",I17+TIME(8,30,0))</f>
        <v/>
      </c>
      <c r="J18" s="1" t="str">
        <f t="shared" ref="J18" si="67">IF(OR(J17="Vrij",J17="Vak",J17="Z",J17="X"),"",J17+TIME(8,30,0))</f>
        <v/>
      </c>
      <c r="K18" s="1">
        <f t="shared" ref="K18" si="68">IF(OR(K17="Vrij",K17="Vak",K17="Z",K17="X"),"",K17+TIME(8,30,0))</f>
        <v>0.6875</v>
      </c>
      <c r="L18" s="1">
        <f t="shared" ref="L18" si="69">IF(OR(L17="Vrij",L17="Vak",L17="Z",L17="X"),"",L17+TIME(8,30,0))</f>
        <v>0.6875</v>
      </c>
      <c r="M18" s="1" t="str">
        <f t="shared" ref="M18" si="70">IF(OR(M17="Vrij",M17="Vak",M17="Z",M17="X"),"",M17+TIME(8,30,0))</f>
        <v/>
      </c>
      <c r="N18" s="1">
        <f t="shared" ref="N18" si="71">IF(OR(N17="Vrij",N17="Vak",N17="Z",N17="X"),"",N17+TIME(8,30,0))</f>
        <v>0.6875</v>
      </c>
      <c r="O18" s="1">
        <f t="shared" ref="O18" si="72">IF(OR(O17="Vrij",O17="Vak",O17="Z",O17="X"),"",O17+TIME(8,30,0))</f>
        <v>0.6875</v>
      </c>
      <c r="P18" s="1" t="str">
        <f t="shared" ref="P18" si="73">IF(OR(P17="Vrij",P17="Vak",P17="Z",P17="X"),"",P17+TIME(8,30,0))</f>
        <v/>
      </c>
      <c r="Q18" s="1" t="str">
        <f t="shared" ref="Q18" si="74">IF(OR(Q17="Vrij",Q17="Vak",Q17="Z",Q17="X"),"",Q17+TIME(8,30,0))</f>
        <v/>
      </c>
      <c r="R18" s="1">
        <f t="shared" ref="R18" si="75">IF(OR(R17="Vrij",R17="Vak",R17="Z",R17="X"),"",R17+TIME(8,30,0))</f>
        <v>0.6875</v>
      </c>
      <c r="S18" s="1">
        <f t="shared" ref="S18" si="76">IF(OR(S17="Vrij",S17="Vak",S17="Z",S17="X"),"",S17+TIME(8,30,0))</f>
        <v>0.6875</v>
      </c>
      <c r="T18" s="1" t="str">
        <f t="shared" ref="T18" si="77">IF(OR(T17="Vrij",T17="Vak",T17="Z",T17="X"),"",T17+TIME(8,30,0))</f>
        <v/>
      </c>
      <c r="U18" s="1">
        <f t="shared" ref="U18" si="78">IF(OR(U17="Vrij",U17="Vak",U17="Z",U17="X"),"",U17+TIME(8,30,0))</f>
        <v>0.6875</v>
      </c>
      <c r="V18" s="1">
        <f t="shared" ref="V18" si="79">IF(OR(V17="Vrij",V17="Vak",V17="Z",V17="X"),"",V17+TIME(8,30,0))</f>
        <v>0.6875</v>
      </c>
      <c r="W18" s="1" t="str">
        <f t="shared" ref="W18" si="80">IF(OR(W17="Vrij",W17="Vak",W17="Z",W17="X"),"",W17+TIME(8,30,0))</f>
        <v/>
      </c>
      <c r="X18" s="1" t="str">
        <f t="shared" ref="X18" si="81">IF(OR(X17="Vrij",X17="Vak",X17="Z",X17="X"),"",X17+TIME(8,30,0))</f>
        <v/>
      </c>
      <c r="Y18" s="1">
        <f t="shared" ref="Y18" si="82">IF(OR(Y17="Vrij",Y17="Vak",Y17="Z",Y17="X"),"",Y17+TIME(8,30,0))</f>
        <v>0.6875</v>
      </c>
      <c r="Z18" s="1">
        <f t="shared" ref="Z18" si="83">IF(OR(Z17="Vrij",Z17="Vak",Z17="Z",Z17="X"),"",Z17+TIME(8,30,0))</f>
        <v>0.6875</v>
      </c>
      <c r="AA18" s="1" t="str">
        <f t="shared" ref="AA18" si="84">IF(OR(AA17="Vrij",AA17="Vak",AA17="Z",AA17="X"),"",AA17+TIME(8,30,0))</f>
        <v/>
      </c>
      <c r="AB18" s="1">
        <f t="shared" ref="AB18" si="85">IF(OR(AB17="Vrij",AB17="Vak",AB17="Z",AB17="X"),"",AB17+TIME(8,30,0))</f>
        <v>0.6875</v>
      </c>
      <c r="AC18" s="1">
        <f t="shared" ref="AC18" si="86">IF(OR(AC17="Vrij",AC17="Vak",AC17="Z",AC17="X"),"",AC17+TIME(8,30,0))</f>
        <v>0.6875</v>
      </c>
      <c r="AD18" s="1" t="str">
        <f t="shared" ref="AD18" si="87">IF(OR(AD17="Vrij",AD17="Vak",AD17="Z",AD17="X"),"",AD17+TIME(8,30,0))</f>
        <v/>
      </c>
      <c r="AE18" s="1" t="str">
        <f t="shared" ref="AE18" si="88">IF(OR(AE17="Vrij",AE17="Vak",AE17="Z",AE17="X"),"",AE17+TIME(8,30,0))</f>
        <v/>
      </c>
      <c r="AF18" s="1">
        <f t="shared" ref="AF18" si="89">IF(OR(AF17="Vrij",AF17="Vak",AF17="Z",AF17="X"),"",AF17+TIME(8,30,0))</f>
        <v>0.6875</v>
      </c>
    </row>
    <row r="19" spans="1:32" x14ac:dyDescent="0.3">
      <c r="A19" s="8" t="s">
        <v>10</v>
      </c>
      <c r="B19" s="4" t="s">
        <v>16</v>
      </c>
      <c r="C19" s="1" t="s">
        <v>21</v>
      </c>
      <c r="D19" s="1">
        <v>0.33333333333333331</v>
      </c>
      <c r="E19" s="1">
        <v>0.33333333333333331</v>
      </c>
      <c r="F19" s="1">
        <v>0.33333333333333331</v>
      </c>
      <c r="G19" s="1">
        <v>0.33333333333333331</v>
      </c>
      <c r="H19" s="1">
        <v>0.33333333333333331</v>
      </c>
      <c r="I19" s="1" t="s">
        <v>21</v>
      </c>
      <c r="J19" s="1" t="s">
        <v>21</v>
      </c>
      <c r="K19" s="1">
        <v>0.33333333333333331</v>
      </c>
      <c r="L19" s="1">
        <v>0.33333333333333331</v>
      </c>
      <c r="M19" s="1">
        <v>0.33333333333333331</v>
      </c>
      <c r="N19" s="1">
        <v>0.33333333333333331</v>
      </c>
      <c r="O19" s="1">
        <v>0.33333333333333331</v>
      </c>
      <c r="P19" s="1" t="s">
        <v>21</v>
      </c>
      <c r="Q19" s="1" t="s">
        <v>21</v>
      </c>
      <c r="R19" s="1">
        <v>0.33333333333333331</v>
      </c>
      <c r="S19" s="1">
        <v>0.33333333333333331</v>
      </c>
      <c r="T19" s="1">
        <v>0.33333333333333331</v>
      </c>
      <c r="U19" s="1">
        <v>0.33333333333333331</v>
      </c>
      <c r="V19" s="1">
        <v>0.33333333333333331</v>
      </c>
      <c r="W19" s="1" t="s">
        <v>21</v>
      </c>
      <c r="X19" s="1" t="s">
        <v>21</v>
      </c>
      <c r="Y19" s="1" t="s">
        <v>3</v>
      </c>
      <c r="Z19" s="1" t="s">
        <v>3</v>
      </c>
      <c r="AA19" s="1" t="s">
        <v>3</v>
      </c>
      <c r="AB19" s="1" t="s">
        <v>3</v>
      </c>
      <c r="AC19" s="1" t="s">
        <v>1</v>
      </c>
      <c r="AD19" s="1" t="s">
        <v>21</v>
      </c>
      <c r="AE19" s="1" t="s">
        <v>21</v>
      </c>
      <c r="AF19" s="1" t="s">
        <v>1</v>
      </c>
    </row>
    <row r="20" spans="1:32" x14ac:dyDescent="0.3">
      <c r="C20" s="1" t="str">
        <f>IF(OR(C19="Vrij",C19="Vak",C19="Z",C19="X"),"",C19+TIME(8,30,0))</f>
        <v/>
      </c>
      <c r="D20" s="1">
        <f t="shared" ref="D20" si="90">IF(OR(D19="Vrij",D19="Vak",D19="Z",D19="X"),"",D19+TIME(8,30,0))</f>
        <v>0.6875</v>
      </c>
      <c r="E20" s="1">
        <f t="shared" ref="E20" si="91">IF(OR(E19="Vrij",E19="Vak",E19="Z",E19="X"),"",E19+TIME(8,30,0))</f>
        <v>0.6875</v>
      </c>
      <c r="F20" s="1">
        <f t="shared" ref="F20" si="92">IF(OR(F19="Vrij",F19="Vak",F19="Z",F19="X"),"",F19+TIME(8,30,0))</f>
        <v>0.6875</v>
      </c>
      <c r="G20" s="1">
        <f t="shared" ref="G20" si="93">IF(OR(G19="Vrij",G19="Vak",G19="Z",G19="X"),"",G19+TIME(8,30,0))</f>
        <v>0.6875</v>
      </c>
      <c r="H20" s="1">
        <f t="shared" ref="H20" si="94">IF(OR(H19="Vrij",H19="Vak",H19="Z",H19="X"),"",H19+TIME(8,30,0))</f>
        <v>0.6875</v>
      </c>
      <c r="I20" s="1" t="str">
        <f t="shared" ref="I20" si="95">IF(OR(I19="Vrij",I19="Vak",I19="Z",I19="X"),"",I19+TIME(8,30,0))</f>
        <v/>
      </c>
      <c r="J20" s="1" t="str">
        <f t="shared" ref="J20" si="96">IF(OR(J19="Vrij",J19="Vak",J19="Z",J19="X"),"",J19+TIME(8,30,0))</f>
        <v/>
      </c>
      <c r="K20" s="1">
        <f t="shared" ref="K20" si="97">IF(OR(K19="Vrij",K19="Vak",K19="Z",K19="X"),"",K19+TIME(8,30,0))</f>
        <v>0.6875</v>
      </c>
      <c r="L20" s="1">
        <f t="shared" ref="L20" si="98">IF(OR(L19="Vrij",L19="Vak",L19="Z",L19="X"),"",L19+TIME(8,30,0))</f>
        <v>0.6875</v>
      </c>
      <c r="M20" s="1">
        <f t="shared" ref="M20" si="99">IF(OR(M19="Vrij",M19="Vak",M19="Z",M19="X"),"",M19+TIME(8,30,0))</f>
        <v>0.6875</v>
      </c>
      <c r="N20" s="1">
        <f t="shared" ref="N20" si="100">IF(OR(N19="Vrij",N19="Vak",N19="Z",N19="X"),"",N19+TIME(8,30,0))</f>
        <v>0.6875</v>
      </c>
      <c r="O20" s="1">
        <f t="shared" ref="O20" si="101">IF(OR(O19="Vrij",O19="Vak",O19="Z",O19="X"),"",O19+TIME(8,30,0))</f>
        <v>0.6875</v>
      </c>
      <c r="P20" s="1" t="str">
        <f t="shared" ref="P20" si="102">IF(OR(P19="Vrij",P19="Vak",P19="Z",P19="X"),"",P19+TIME(8,30,0))</f>
        <v/>
      </c>
      <c r="Q20" s="1" t="str">
        <f t="shared" ref="Q20" si="103">IF(OR(Q19="Vrij",Q19="Vak",Q19="Z",Q19="X"),"",Q19+TIME(8,30,0))</f>
        <v/>
      </c>
      <c r="R20" s="1">
        <f t="shared" ref="R20" si="104">IF(OR(R19="Vrij",R19="Vak",R19="Z",R19="X"),"",R19+TIME(8,30,0))</f>
        <v>0.6875</v>
      </c>
      <c r="S20" s="1">
        <f t="shared" ref="S20" si="105">IF(OR(S19="Vrij",S19="Vak",S19="Z",S19="X"),"",S19+TIME(8,30,0))</f>
        <v>0.6875</v>
      </c>
      <c r="T20" s="1">
        <f t="shared" ref="T20" si="106">IF(OR(T19="Vrij",T19="Vak",T19="Z",T19="X"),"",T19+TIME(8,30,0))</f>
        <v>0.6875</v>
      </c>
      <c r="U20" s="1">
        <f t="shared" ref="U20" si="107">IF(OR(U19="Vrij",U19="Vak",U19="Z",U19="X"),"",U19+TIME(8,30,0))</f>
        <v>0.6875</v>
      </c>
      <c r="V20" s="1">
        <f t="shared" ref="V20" si="108">IF(OR(V19="Vrij",V19="Vak",V19="Z",V19="X"),"",V19+TIME(8,30,0))</f>
        <v>0.6875</v>
      </c>
      <c r="W20" s="1" t="str">
        <f t="shared" ref="W20" si="109">IF(OR(W19="Vrij",W19="Vak",W19="Z",W19="X"),"",W19+TIME(8,30,0))</f>
        <v/>
      </c>
      <c r="X20" s="1" t="str">
        <f t="shared" ref="X20" si="110">IF(OR(X19="Vrij",X19="Vak",X19="Z",X19="X"),"",X19+TIME(8,30,0))</f>
        <v/>
      </c>
      <c r="Y20" s="1" t="str">
        <f t="shared" ref="Y20" si="111">IF(OR(Y19="Vrij",Y19="Vak",Y19="Z",Y19="X"),"",Y19+TIME(8,30,0))</f>
        <v/>
      </c>
      <c r="Z20" s="1" t="str">
        <f t="shared" ref="Z20" si="112">IF(OR(Z19="Vrij",Z19="Vak",Z19="Z",Z19="X"),"",Z19+TIME(8,30,0))</f>
        <v/>
      </c>
      <c r="AA20" s="1" t="str">
        <f t="shared" ref="AA20" si="113">IF(OR(AA19="Vrij",AA19="Vak",AA19="Z",AA19="X"),"",AA19+TIME(8,30,0))</f>
        <v/>
      </c>
      <c r="AB20" s="1" t="str">
        <f t="shared" ref="AB20" si="114">IF(OR(AB19="Vrij",AB19="Vak",AB19="Z",AB19="X"),"",AB19+TIME(8,30,0))</f>
        <v/>
      </c>
      <c r="AC20" s="1" t="str">
        <f t="shared" ref="AC20" si="115">IF(OR(AC19="Vrij",AC19="Vak",AC19="Z",AC19="X"),"",AC19+TIME(8,30,0))</f>
        <v/>
      </c>
      <c r="AD20" s="1" t="str">
        <f t="shared" ref="AD20" si="116">IF(OR(AD19="Vrij",AD19="Vak",AD19="Z",AD19="X"),"",AD19+TIME(8,30,0))</f>
        <v/>
      </c>
      <c r="AE20" s="1" t="str">
        <f t="shared" ref="AE20" si="117">IF(OR(AE19="Vrij",AE19="Vak",AE19="Z",AE19="X"),"",AE19+TIME(8,30,0))</f>
        <v/>
      </c>
      <c r="AF20" s="1" t="str">
        <f t="shared" ref="AF20" si="118">IF(OR(AF19="Vrij",AF19="Vak",AF19="Z",AF19="X"),"",AF19+TIME(8,30,0))</f>
        <v/>
      </c>
    </row>
    <row r="21" spans="1:32" x14ac:dyDescent="0.3">
      <c r="A21" s="8" t="s">
        <v>11</v>
      </c>
      <c r="B21" s="4" t="s">
        <v>17</v>
      </c>
      <c r="C21" s="1" t="s">
        <v>21</v>
      </c>
      <c r="D21" s="1">
        <v>0.33333333333333331</v>
      </c>
      <c r="E21" s="1">
        <v>0.33333333333333331</v>
      </c>
      <c r="F21" s="1">
        <v>0.33333333333333331</v>
      </c>
      <c r="G21" s="1">
        <v>0.33333333333333331</v>
      </c>
      <c r="H21" s="1">
        <v>0.33333333333333331</v>
      </c>
      <c r="I21" s="1" t="s">
        <v>21</v>
      </c>
      <c r="J21" s="1" t="s">
        <v>21</v>
      </c>
      <c r="K21" s="1">
        <v>0.33333333333333331</v>
      </c>
      <c r="L21" s="1">
        <v>0.33333333333333331</v>
      </c>
      <c r="M21" s="1">
        <v>0.33333333333333331</v>
      </c>
      <c r="N21" s="1">
        <v>0.33333333333333331</v>
      </c>
      <c r="O21" s="1">
        <v>0.33333333333333331</v>
      </c>
      <c r="P21" s="1" t="s">
        <v>21</v>
      </c>
      <c r="Q21" s="1" t="s">
        <v>21</v>
      </c>
      <c r="R21" s="1">
        <v>0.33333333333333331</v>
      </c>
      <c r="S21" s="1">
        <v>0.33333333333333331</v>
      </c>
      <c r="T21" s="1">
        <v>0.33333333333333331</v>
      </c>
      <c r="U21" s="1" t="s">
        <v>1</v>
      </c>
      <c r="V21" s="1" t="s">
        <v>1</v>
      </c>
      <c r="W21" s="1" t="s">
        <v>21</v>
      </c>
      <c r="X21" s="1" t="s">
        <v>21</v>
      </c>
      <c r="Y21" s="1">
        <v>0.33333333333333331</v>
      </c>
      <c r="Z21" s="1">
        <v>0.33333333333333331</v>
      </c>
      <c r="AA21" s="1">
        <v>0.33333333333333331</v>
      </c>
      <c r="AB21" s="1">
        <v>0.33333333333333331</v>
      </c>
      <c r="AC21" s="1">
        <v>0.33333333333333331</v>
      </c>
      <c r="AD21" s="1" t="s">
        <v>21</v>
      </c>
      <c r="AE21" s="1" t="s">
        <v>21</v>
      </c>
      <c r="AF21" s="1">
        <v>0.33333333333333331</v>
      </c>
    </row>
    <row r="22" spans="1:32" x14ac:dyDescent="0.3">
      <c r="C22" s="1" t="str">
        <f>IF(OR(C21="Vrij",C21="Vak",C21="Z",C21="X"),"",C21+TIME(8,30,0))</f>
        <v/>
      </c>
      <c r="D22" s="1">
        <f t="shared" ref="D22" si="119">IF(OR(D21="Vrij",D21="Vak",D21="Z",D21="X"),"",D21+TIME(8,30,0))</f>
        <v>0.6875</v>
      </c>
      <c r="E22" s="1">
        <f t="shared" ref="E22" si="120">IF(OR(E21="Vrij",E21="Vak",E21="Z",E21="X"),"",E21+TIME(8,30,0))</f>
        <v>0.6875</v>
      </c>
      <c r="F22" s="1">
        <f t="shared" ref="F22" si="121">IF(OR(F21="Vrij",F21="Vak",F21="Z",F21="X"),"",F21+TIME(8,30,0))</f>
        <v>0.6875</v>
      </c>
      <c r="G22" s="1">
        <f t="shared" ref="G22" si="122">IF(OR(G21="Vrij",G21="Vak",G21="Z",G21="X"),"",G21+TIME(8,30,0))</f>
        <v>0.6875</v>
      </c>
      <c r="H22" s="1">
        <f t="shared" ref="H22" si="123">IF(OR(H21="Vrij",H21="Vak",H21="Z",H21="X"),"",H21+TIME(8,30,0))</f>
        <v>0.6875</v>
      </c>
      <c r="I22" s="1" t="str">
        <f t="shared" ref="I22" si="124">IF(OR(I21="Vrij",I21="Vak",I21="Z",I21="X"),"",I21+TIME(8,30,0))</f>
        <v/>
      </c>
      <c r="J22" s="1" t="str">
        <f t="shared" ref="J22" si="125">IF(OR(J21="Vrij",J21="Vak",J21="Z",J21="X"),"",J21+TIME(8,30,0))</f>
        <v/>
      </c>
      <c r="K22" s="1">
        <f t="shared" ref="K22" si="126">IF(OR(K21="Vrij",K21="Vak",K21="Z",K21="X"),"",K21+TIME(8,30,0))</f>
        <v>0.6875</v>
      </c>
      <c r="L22" s="1">
        <f t="shared" ref="L22" si="127">IF(OR(L21="Vrij",L21="Vak",L21="Z",L21="X"),"",L21+TIME(8,30,0))</f>
        <v>0.6875</v>
      </c>
      <c r="M22" s="1">
        <f t="shared" ref="M22" si="128">IF(OR(M21="Vrij",M21="Vak",M21="Z",M21="X"),"",M21+TIME(8,30,0))</f>
        <v>0.6875</v>
      </c>
      <c r="N22" s="1">
        <f t="shared" ref="N22" si="129">IF(OR(N21="Vrij",N21="Vak",N21="Z",N21="X"),"",N21+TIME(8,30,0))</f>
        <v>0.6875</v>
      </c>
      <c r="O22" s="1">
        <f t="shared" ref="O22" si="130">IF(OR(O21="Vrij",O21="Vak",O21="Z",O21="X"),"",O21+TIME(8,30,0))</f>
        <v>0.6875</v>
      </c>
      <c r="P22" s="1" t="str">
        <f t="shared" ref="P22" si="131">IF(OR(P21="Vrij",P21="Vak",P21="Z",P21="X"),"",P21+TIME(8,30,0))</f>
        <v/>
      </c>
      <c r="Q22" s="1" t="str">
        <f t="shared" ref="Q22" si="132">IF(OR(Q21="Vrij",Q21="Vak",Q21="Z",Q21="X"),"",Q21+TIME(8,30,0))</f>
        <v/>
      </c>
      <c r="R22" s="1">
        <f t="shared" ref="R22" si="133">IF(OR(R21="Vrij",R21="Vak",R21="Z",R21="X"),"",R21+TIME(8,30,0))</f>
        <v>0.6875</v>
      </c>
      <c r="S22" s="1">
        <f t="shared" ref="S22" si="134">IF(OR(S21="Vrij",S21="Vak",S21="Z",S21="X"),"",S21+TIME(8,30,0))</f>
        <v>0.6875</v>
      </c>
      <c r="T22" s="1">
        <f t="shared" ref="T22" si="135">IF(OR(T21="Vrij",T21="Vak",T21="Z",T21="X"),"",T21+TIME(8,30,0))</f>
        <v>0.6875</v>
      </c>
      <c r="U22" s="1" t="str">
        <f t="shared" ref="U22" si="136">IF(OR(U21="Vrij",U21="Vak",U21="Z",U21="X"),"",U21+TIME(8,30,0))</f>
        <v/>
      </c>
      <c r="V22" s="1" t="str">
        <f t="shared" ref="V22" si="137">IF(OR(V21="Vrij",V21="Vak",V21="Z",V21="X"),"",V21+TIME(8,30,0))</f>
        <v/>
      </c>
      <c r="W22" s="1" t="str">
        <f t="shared" ref="W22" si="138">IF(OR(W21="Vrij",W21="Vak",W21="Z",W21="X"),"",W21+TIME(8,30,0))</f>
        <v/>
      </c>
      <c r="X22" s="1" t="str">
        <f t="shared" ref="X22" si="139">IF(OR(X21="Vrij",X21="Vak",X21="Z",X21="X"),"",X21+TIME(8,30,0))</f>
        <v/>
      </c>
      <c r="Y22" s="1">
        <f t="shared" ref="Y22" si="140">IF(OR(Y21="Vrij",Y21="Vak",Y21="Z",Y21="X"),"",Y21+TIME(8,30,0))</f>
        <v>0.6875</v>
      </c>
      <c r="Z22" s="1">
        <f t="shared" ref="Z22" si="141">IF(OR(Z21="Vrij",Z21="Vak",Z21="Z",Z21="X"),"",Z21+TIME(8,30,0))</f>
        <v>0.6875</v>
      </c>
      <c r="AA22" s="1">
        <f t="shared" ref="AA22" si="142">IF(OR(AA21="Vrij",AA21="Vak",AA21="Z",AA21="X"),"",AA21+TIME(8,30,0))</f>
        <v>0.6875</v>
      </c>
      <c r="AB22" s="1">
        <f t="shared" ref="AB22" si="143">IF(OR(AB21="Vrij",AB21="Vak",AB21="Z",AB21="X"),"",AB21+TIME(8,30,0))</f>
        <v>0.6875</v>
      </c>
      <c r="AC22" s="1">
        <f t="shared" ref="AC22" si="144">IF(OR(AC21="Vrij",AC21="Vak",AC21="Z",AC21="X"),"",AC21+TIME(8,30,0))</f>
        <v>0.6875</v>
      </c>
      <c r="AD22" s="1" t="str">
        <f t="shared" ref="AD22" si="145">IF(OR(AD21="Vrij",AD21="Vak",AD21="Z",AD21="X"),"",AD21+TIME(8,30,0))</f>
        <v/>
      </c>
      <c r="AE22" s="1" t="str">
        <f t="shared" ref="AE22" si="146">IF(OR(AE21="Vrij",AE21="Vak",AE21="Z",AE21="X"),"",AE21+TIME(8,30,0))</f>
        <v/>
      </c>
      <c r="AF22" s="1">
        <f t="shared" ref="AF22" si="147">IF(OR(AF21="Vrij",AF21="Vak",AF21="Z",AF21="X"),"",AF21+TIME(8,30,0))</f>
        <v>0.6875</v>
      </c>
    </row>
    <row r="27" spans="1:32" x14ac:dyDescent="0.3">
      <c r="I27" s="16"/>
      <c r="L27" s="14"/>
      <c r="O27" s="13"/>
    </row>
  </sheetData>
  <mergeCells count="6">
    <mergeCell ref="C5:D5"/>
    <mergeCell ref="F5:G5"/>
    <mergeCell ref="I5:J5"/>
    <mergeCell ref="C6:D7"/>
    <mergeCell ref="F6:G7"/>
    <mergeCell ref="I6:J7"/>
  </mergeCells>
  <phoneticPr fontId="2" type="noConversion"/>
  <conditionalFormatting sqref="C11:AF22">
    <cfRule type="expression" dxfId="4" priority="17">
      <formula>"Z"</formula>
    </cfRule>
    <cfRule type="containsText" dxfId="3" priority="16" operator="containsText" text="Z">
      <formula>NOT(ISERROR(SEARCH("Z",C11)))</formula>
    </cfRule>
    <cfRule type="containsText" dxfId="2" priority="15" operator="containsText" text="VAK">
      <formula>NOT(ISERROR(SEARCH("VAK",C11)))</formula>
    </cfRule>
    <cfRule type="containsText" dxfId="1" priority="14" operator="containsText" text="VRIJ">
      <formula>NOT(ISERROR(SEARCH("VRIJ",C11)))</formula>
    </cfRule>
    <cfRule type="containsText" dxfId="0" priority="1" operator="containsText" text="X">
      <formula>NOT(ISERROR(SEARCH("X",C11)))</formula>
    </cfRule>
  </conditionalFormatting>
  <conditionalFormatting sqref="F5">
    <cfRule type="containsText" dxfId="8" priority="10" operator="containsText" text="VRIJ">
      <formula>NOT(ISERROR(SEARCH("VRIJ",F5)))</formula>
    </cfRule>
    <cfRule type="containsText" dxfId="7" priority="11" operator="containsText" text="VAK">
      <formula>NOT(ISERROR(SEARCH("VAK",F5)))</formula>
    </cfRule>
    <cfRule type="containsText" dxfId="6" priority="12" operator="containsText" text="Z">
      <formula>NOT(ISERROR(SEARCH("Z",F5)))</formula>
    </cfRule>
    <cfRule type="expression" dxfId="5" priority="13">
      <formula>"Z"</formula>
    </cfRule>
  </conditionalFormatting>
  <dataValidations count="1">
    <dataValidation type="list" allowBlank="1" showInputMessage="1" showErrorMessage="1" sqref="C11:AF11 C13:AF13 C15:AF15 C17:AF17 C19:AF19 C21:AF21" xr:uid="{000BFC84-719E-4ACE-9DBB-8D894CD46549}">
      <formula1>"08:00,08:30,09:00,VRIJ,VAK,Z,X"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35E-2963-45BC-955E-4937ECD2B1EB}">
  <dimension ref="A1"/>
  <sheetViews>
    <sheetView workbookViewId="0">
      <selection activeCell="D24" sqref="D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Draaitabel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Fathin Muhammad</dc:creator>
  <cp:lastModifiedBy>Fathin Muhammad</cp:lastModifiedBy>
  <dcterms:created xsi:type="dcterms:W3CDTF">2026-09-28T11:56:03Z</dcterms:created>
  <dcterms:modified xsi:type="dcterms:W3CDTF">2026-09-28T17:43:01Z</dcterms:modified>
</cp:coreProperties>
</file>