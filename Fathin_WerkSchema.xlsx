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i\Desktop\Planning\"/>
    </mc:Choice>
  </mc:AlternateContent>
  <xr:revisionPtr revIDLastSave="0" documentId="13_ncr:1_{1744DFF0-E91F-4D9F-914E-DFDFD3872055}" xr6:coauthVersionLast="47" xr6:coauthVersionMax="47" xr10:uidLastSave="{00000000-0000-0000-0000-000000000000}"/>
  <bookViews>
    <workbookView xWindow="-108" yWindow="-108" windowWidth="23256" windowHeight="12456" xr2:uid="{A109E1A5-8E6C-4D3C-835F-9EEEE4DC6DAF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6" l="1" a="1"/>
  <c r="D22" i="6"/>
  <c r="E22" i="6" a="1"/>
  <c r="E22" i="6" s="1"/>
  <c r="F22" i="6" a="1"/>
  <c r="F22" i="6" s="1"/>
  <c r="G22" i="6" a="1"/>
  <c r="G22" i="6"/>
  <c r="H22" i="6" a="1"/>
  <c r="H22" i="6"/>
  <c r="I22" i="6" a="1"/>
  <c r="I22" i="6" s="1"/>
  <c r="J22" i="6" a="1"/>
  <c r="J22" i="6" s="1"/>
  <c r="K22" i="6" a="1"/>
  <c r="K22" i="6"/>
  <c r="L22" i="6" a="1"/>
  <c r="L22" i="6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/>
  <c r="T22" i="6" a="1"/>
  <c r="T22" i="6"/>
  <c r="U22" i="6" a="1"/>
  <c r="U22" i="6" s="1"/>
  <c r="V22" i="6" a="1"/>
  <c r="V22" i="6" s="1"/>
  <c r="W22" i="6" a="1"/>
  <c r="W22" i="6"/>
  <c r="X22" i="6" a="1"/>
  <c r="X22" i="6"/>
  <c r="Y22" i="6" a="1"/>
  <c r="Y22" i="6" s="1"/>
  <c r="Z22" i="6" a="1"/>
  <c r="Z22" i="6" s="1"/>
  <c r="AA22" i="6" a="1"/>
  <c r="AA22" i="6"/>
  <c r="AB22" i="6" a="1"/>
  <c r="AB22" i="6" s="1"/>
  <c r="AC22" i="6" a="1"/>
  <c r="AC22" i="6" s="1"/>
  <c r="AD22" i="6" a="1"/>
  <c r="AD22" i="6" s="1"/>
  <c r="AE22" i="6" a="1"/>
  <c r="AE22" i="6"/>
  <c r="AF22" i="6" a="1"/>
  <c r="AF22" i="6" s="1"/>
  <c r="AG22" i="6" a="1"/>
  <c r="AG22" i="6" s="1"/>
  <c r="D21" i="6" a="1"/>
  <c r="D21" i="6"/>
  <c r="E21" i="6" a="1"/>
  <c r="E21" i="6" s="1"/>
  <c r="F21" i="6" a="1"/>
  <c r="F21" i="6"/>
  <c r="G21" i="6" a="1"/>
  <c r="G21" i="6"/>
  <c r="H21" i="6" a="1"/>
  <c r="H21" i="6"/>
  <c r="I21" i="6" a="1"/>
  <c r="I21" i="6" s="1"/>
  <c r="J21" i="6" a="1"/>
  <c r="J21" i="6"/>
  <c r="K21" i="6" a="1"/>
  <c r="K21" i="6"/>
  <c r="L21" i="6" a="1"/>
  <c r="L21" i="6"/>
  <c r="M21" i="6" a="1"/>
  <c r="M21" i="6" s="1"/>
  <c r="N21" i="6" a="1"/>
  <c r="N21" i="6"/>
  <c r="O21" i="6" a="1"/>
  <c r="O21" i="6" s="1"/>
  <c r="P21" i="6" a="1"/>
  <c r="P21" i="6" s="1"/>
  <c r="Q21" i="6" a="1"/>
  <c r="Q21" i="6" s="1"/>
  <c r="R21" i="6" a="1"/>
  <c r="R21" i="6"/>
  <c r="S21" i="6" a="1"/>
  <c r="S21" i="6"/>
  <c r="T21" i="6" a="1"/>
  <c r="T21" i="6"/>
  <c r="U21" i="6" a="1"/>
  <c r="U21" i="6" s="1"/>
  <c r="V21" i="6" a="1"/>
  <c r="V21" i="6"/>
  <c r="W21" i="6" a="1"/>
  <c r="W21" i="6"/>
  <c r="X21" i="6" a="1"/>
  <c r="X21" i="6"/>
  <c r="Y21" i="6" a="1"/>
  <c r="Y21" i="6" s="1"/>
  <c r="Z21" i="6" a="1"/>
  <c r="Z21" i="6"/>
  <c r="AA21" i="6" a="1"/>
  <c r="AA21" i="6"/>
  <c r="AB21" i="6" a="1"/>
  <c r="AB21" i="6"/>
  <c r="AC21" i="6" a="1"/>
  <c r="AC21" i="6" s="1"/>
  <c r="AD21" i="6" a="1"/>
  <c r="AD21" i="6"/>
  <c r="AE21" i="6" a="1"/>
  <c r="AE21" i="6"/>
  <c r="AF21" i="6" a="1"/>
  <c r="AF21" i="6"/>
  <c r="AG21" i="6" a="1"/>
  <c r="AG21" i="6" s="1"/>
  <c r="D20" i="6" a="1"/>
  <c r="D20" i="6"/>
  <c r="E20" i="6" a="1"/>
  <c r="E20" i="6" s="1"/>
  <c r="F20" i="6" a="1"/>
  <c r="F20" i="6"/>
  <c r="G20" i="6" a="1"/>
  <c r="G20" i="6"/>
  <c r="H20" i="6" a="1"/>
  <c r="H20" i="6"/>
  <c r="I20" i="6" a="1"/>
  <c r="I20" i="6" s="1"/>
  <c r="J20" i="6" a="1"/>
  <c r="J20" i="6"/>
  <c r="K20" i="6" a="1"/>
  <c r="K20" i="6"/>
  <c r="L20" i="6" a="1"/>
  <c r="L20" i="6"/>
  <c r="M20" i="6" a="1"/>
  <c r="M20" i="6" s="1"/>
  <c r="N20" i="6" a="1"/>
  <c r="N20" i="6"/>
  <c r="O20" i="6" a="1"/>
  <c r="O20" i="6" s="1"/>
  <c r="P20" i="6" a="1"/>
  <c r="P20" i="6"/>
  <c r="Q20" i="6" a="1"/>
  <c r="Q20" i="6" s="1"/>
  <c r="R20" i="6" a="1"/>
  <c r="R20" i="6"/>
  <c r="S20" i="6" a="1"/>
  <c r="S20" i="6"/>
  <c r="T20" i="6" a="1"/>
  <c r="T20" i="6"/>
  <c r="U20" i="6" a="1"/>
  <c r="U20" i="6" s="1"/>
  <c r="V20" i="6" a="1"/>
  <c r="V20" i="6"/>
  <c r="W20" i="6" a="1"/>
  <c r="W20" i="6"/>
  <c r="X20" i="6" a="1"/>
  <c r="X20" i="6"/>
  <c r="Y20" i="6" a="1"/>
  <c r="Y20" i="6" s="1"/>
  <c r="Z20" i="6" a="1"/>
  <c r="Z20" i="6"/>
  <c r="AA20" i="6" a="1"/>
  <c r="AA20" i="6"/>
  <c r="AB20" i="6" a="1"/>
  <c r="AB20" i="6"/>
  <c r="AC20" i="6" a="1"/>
  <c r="AC20" i="6" s="1"/>
  <c r="AD20" i="6" a="1"/>
  <c r="AD20" i="6"/>
  <c r="AE20" i="6" a="1"/>
  <c r="AE20" i="6"/>
  <c r="AF20" i="6" a="1"/>
  <c r="AF20" i="6"/>
  <c r="AG20" i="6" a="1"/>
  <c r="AG20" i="6" s="1"/>
  <c r="D19" i="6" a="1"/>
  <c r="D19" i="6"/>
  <c r="E19" i="6" a="1"/>
  <c r="E19" i="6" s="1"/>
  <c r="F19" i="6" a="1"/>
  <c r="F19" i="6" s="1"/>
  <c r="G19" i="6" a="1"/>
  <c r="G19" i="6"/>
  <c r="H19" i="6" a="1"/>
  <c r="H19" i="6" s="1"/>
  <c r="I19" i="6" a="1"/>
  <c r="I19" i="6" s="1"/>
  <c r="J19" i="6" a="1"/>
  <c r="J19" i="6"/>
  <c r="K19" i="6" a="1"/>
  <c r="K19" i="6"/>
  <c r="L19" i="6" a="1"/>
  <c r="L19" i="6"/>
  <c r="M19" i="6" a="1"/>
  <c r="M19" i="6" s="1"/>
  <c r="N19" i="6" a="1"/>
  <c r="N19" i="6" s="1"/>
  <c r="O19" i="6" a="1"/>
  <c r="O19" i="6"/>
  <c r="P19" i="6" a="1"/>
  <c r="P19" i="6" s="1"/>
  <c r="Q19" i="6" a="1"/>
  <c r="Q19" i="6" s="1"/>
  <c r="R19" i="6" a="1"/>
  <c r="R19" i="6" s="1"/>
  <c r="S19" i="6" a="1"/>
  <c r="S19" i="6"/>
  <c r="T19" i="6" a="1"/>
  <c r="T19" i="6"/>
  <c r="U19" i="6" a="1"/>
  <c r="U19" i="6" s="1"/>
  <c r="V19" i="6" a="1"/>
  <c r="V19" i="6" s="1"/>
  <c r="W19" i="6" a="1"/>
  <c r="W19" i="6"/>
  <c r="X19" i="6" a="1"/>
  <c r="X19" i="6"/>
  <c r="Y19" i="6" a="1"/>
  <c r="Y19" i="6" s="1"/>
  <c r="Z19" i="6" a="1"/>
  <c r="Z19" i="6" s="1"/>
  <c r="AA19" i="6" a="1"/>
  <c r="AA19" i="6"/>
  <c r="AB19" i="6" a="1"/>
  <c r="AB19" i="6"/>
  <c r="AC19" i="6" a="1"/>
  <c r="AC19" i="6" s="1"/>
  <c r="AD19" i="6" a="1"/>
  <c r="AD19" i="6" s="1"/>
  <c r="AE19" i="6" a="1"/>
  <c r="AE19" i="6"/>
  <c r="AF19" i="6" a="1"/>
  <c r="AF19" i="6"/>
  <c r="AG19" i="6" a="1"/>
  <c r="AG19" i="6" s="1"/>
  <c r="C19" i="6" a="1"/>
  <c r="C19" i="6" s="1"/>
  <c r="AI13" i="6"/>
  <c r="AL13" i="6" s="1"/>
  <c r="AI14" i="6"/>
  <c r="AI15" i="6"/>
  <c r="AL15" i="6" s="1"/>
  <c r="AI16" i="6"/>
  <c r="AI17" i="6"/>
  <c r="AI12" i="6"/>
  <c r="AK13" i="6"/>
  <c r="AK14" i="6"/>
  <c r="AK15" i="6"/>
  <c r="AK16" i="6"/>
  <c r="AK17" i="6"/>
  <c r="AK12" i="6"/>
  <c r="AJ12" i="6"/>
  <c r="AJ13" i="6"/>
  <c r="AJ14" i="6"/>
  <c r="AJ15" i="6"/>
  <c r="AJ16" i="6"/>
  <c r="AJ17" i="6"/>
  <c r="C22" i="6" a="1"/>
  <c r="C22" i="6" s="1"/>
  <c r="C20" i="6" a="1"/>
  <c r="C20" i="6" s="1"/>
  <c r="C21" i="6" a="1"/>
  <c r="C21" i="6" s="1"/>
  <c r="C10" i="6" a="1"/>
  <c r="C10" i="6" s="1"/>
  <c r="C11" i="6" s="1"/>
  <c r="B2" i="6"/>
  <c r="AL14" i="6" l="1"/>
  <c r="AL16" i="6"/>
  <c r="AK18" i="6"/>
  <c r="AJ18" i="6"/>
  <c r="AL17" i="6"/>
  <c r="AI18" i="6"/>
  <c r="AL12" i="6"/>
  <c r="K11" i="6"/>
  <c r="G11" i="6"/>
  <c r="AA11" i="6"/>
  <c r="Z11" i="6"/>
  <c r="Y11" i="6"/>
  <c r="AF11" i="6"/>
  <c r="P11" i="6"/>
  <c r="AE11" i="6"/>
  <c r="W11" i="6"/>
  <c r="O11" i="6"/>
  <c r="AD11" i="6"/>
  <c r="V11" i="6"/>
  <c r="N11" i="6"/>
  <c r="F11" i="6"/>
  <c r="J11" i="6"/>
  <c r="I11" i="6"/>
  <c r="X11" i="6"/>
  <c r="AC11" i="6"/>
  <c r="M11" i="6"/>
  <c r="E11" i="6"/>
  <c r="S11" i="6"/>
  <c r="R11" i="6"/>
  <c r="AG11" i="6"/>
  <c r="Q11" i="6"/>
  <c r="H11" i="6"/>
  <c r="U11" i="6"/>
  <c r="AB11" i="6"/>
  <c r="T11" i="6"/>
  <c r="L11" i="6"/>
  <c r="D11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<sst xmlns="http://schemas.openxmlformats.org/spreadsheetml/2006/main" count="215" uniqueCount="32">
  <si>
    <t>Dirk Wolski</t>
  </si>
  <si>
    <t>M</t>
  </si>
  <si>
    <t>A</t>
  </si>
  <si>
    <t>Fathin Muhammad</t>
  </si>
  <si>
    <t>Britt Winter</t>
  </si>
  <si>
    <t>Alex Smith</t>
  </si>
  <si>
    <t>Sara Dekkers</t>
  </si>
  <si>
    <t>Start Datum</t>
  </si>
  <si>
    <t>Dienst</t>
  </si>
  <si>
    <t>O</t>
  </si>
  <si>
    <t>Middag (14:00-22:00 uur)</t>
  </si>
  <si>
    <t>Ochtend (6:00-14:00 uur)</t>
  </si>
  <si>
    <t>Avond (22:00 uur-18:00 uur)</t>
  </si>
  <si>
    <t>Omschrijving</t>
  </si>
  <si>
    <t>Naam Medewerker</t>
  </si>
  <si>
    <t>Ochtend</t>
  </si>
  <si>
    <t>Middag</t>
  </si>
  <si>
    <t>Avond</t>
  </si>
  <si>
    <t>#3C7D22</t>
  </si>
  <si>
    <t>#BE5014</t>
  </si>
  <si>
    <t>#0C769E</t>
  </si>
  <si>
    <t>Aantal Zieke Dagen per Dag</t>
  </si>
  <si>
    <t>Aantal Diensten per Dag</t>
  </si>
  <si>
    <t>Aantal Vrije Dagen per Dag</t>
  </si>
  <si>
    <t>V</t>
  </si>
  <si>
    <t>Aantal Verlofdagen per Dag</t>
  </si>
  <si>
    <t xml:space="preserve">VAK  </t>
  </si>
  <si>
    <t>Z</t>
  </si>
  <si>
    <t xml:space="preserve">Micheal Wong </t>
  </si>
  <si>
    <t>Totaal aantal diensten</t>
  </si>
  <si>
    <t>Totaal</t>
  </si>
  <si>
    <t>Totaal 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</si>
</sst>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b/>
      <sz val="12"/>
      <color theme="7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ck">
        <color theme="8" tint="-0.249977111117893"/>
      </left>
      <right style="thick">
        <color theme="8" tint="-0.249977111117893"/>
      </right>
      <top style="thick">
        <color theme="8" tint="-0.249977111117893"/>
      </top>
      <bottom style="thick">
        <color theme="8" tint="-0.249977111117893"/>
      </bottom>
      <diagonal/>
    </border>
    <border>
      <left/>
      <right/>
      <top style="thick">
        <color theme="1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vertical="center"/>
    </xf>
    <xf numFmtId="164" fontId="0" fillId="0" borderId="0" xfId="0" applyNumberFormat="1"/>
    <xf numFmtId="0" fontId="1" fillId="0" borderId="0" xfId="0" applyFont="1"/>
    <xf numFmtId="0" fontId="8" fillId="0" borderId="0" xfId="0" applyFont="1"/>
    <xf numFmtId="0" fontId="9" fillId="2" borderId="0" xfId="0" applyFont="1" applyFill="1"/>
    <xf numFmtId="0" fontId="10" fillId="3" borderId="0" xfId="0" applyFont="1" applyFill="1"/>
    <xf numFmtId="0" fontId="11" fillId="4" borderId="0" xfId="0" applyFont="1" applyFill="1"/>
    <xf numFmtId="0" fontId="1" fillId="0" borderId="0" xfId="0" applyFont="1" applyAlignment="1">
      <alignment horizontal="center" vertical="center"/>
    </xf>
    <xf numFmtId="164" fontId="6" fillId="5" borderId="0" xfId="0" applyNumberFormat="1" applyFont="1" applyFill="1"/>
    <xf numFmtId="164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/>
    <xf numFmtId="0" fontId="8" fillId="6" borderId="0" xfId="0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3">
    <cellStyle name="Hyperlink 2" xfId="2" xr:uid="{08A49805-145A-A542-A9FC-C2B61F55A819}"/>
    <cellStyle name="Normal" xfId="0" builtinId="0"/>
    <cellStyle name="Normal 2 2" xfId="1" xr:uid="{223F90DF-E6B3-5045-9202-EB18B3C5FC60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5E6A2"/>
        </patternFill>
      </fill>
    </dxf>
    <dxf>
      <font>
        <b/>
        <i val="0"/>
        <color rgb="FF3C7D22"/>
      </font>
      <fill>
        <patternFill>
          <bgColor rgb="FFB5E6A2"/>
        </patternFill>
      </fill>
    </dxf>
    <dxf>
      <font>
        <b/>
        <i val="0"/>
        <color rgb="FFBE5014"/>
      </font>
      <fill>
        <patternFill>
          <bgColor rgb="FFF7C7AC"/>
        </patternFill>
      </fill>
    </dxf>
    <dxf>
      <font>
        <b/>
        <i val="0"/>
        <color rgb="FF0C769E"/>
      </font>
      <fill>
        <patternFill>
          <bgColor rgb="FF94DCF8"/>
        </patternFill>
      </fill>
    </dxf>
    <dxf>
      <font>
        <b/>
        <i val="0"/>
        <color rgb="FF51154A"/>
      </font>
      <fill>
        <patternFill>
          <bgColor rgb="FF9C5BCD"/>
        </patternFill>
      </fill>
    </dxf>
    <dxf>
      <font>
        <b/>
        <i val="0"/>
        <color theme="1"/>
      </font>
      <fill>
        <patternFill patternType="none">
          <fgColor indexed="64"/>
          <bgColor auto="1"/>
        </patternFill>
      </fill>
    </dxf>
    <dxf>
      <font>
        <b/>
        <i val="0"/>
        <color theme="2" tint="-0.749961851863155"/>
      </font>
      <fill>
        <patternFill>
          <fgColor theme="2" tint="-9.9887081514938816E-2"/>
          <bgColor theme="2" tint="-0.24994659260841701"/>
        </patternFill>
      </fill>
    </dxf>
    <dxf>
      <fill>
        <patternFill>
          <bgColor rgb="FFB5E6A2"/>
        </patternFill>
      </fill>
    </dxf>
    <dxf>
      <fill>
        <patternFill>
          <bgColor rgb="FFF7C7AC"/>
        </patternFill>
      </fill>
    </dxf>
    <dxf>
      <fill>
        <patternFill>
          <bgColor rgb="FF94DCF8"/>
        </patternFill>
      </fill>
    </dxf>
  </dxfs>
  <tableStyles count="0" defaultTableStyle="TableStyleMedium2" defaultPivotStyle="PivotStyleLight16"/>
  <colors>
    <mruColors>
      <color rgb="FFFF0000"/>
      <color rgb="FF51154A"/>
      <color rgb="FF969696"/>
      <color rgb="FF9C5BCD"/>
      <color rgb="FF7030A0"/>
      <color rgb="FF958E2F"/>
      <color rgb="FFC4BB44"/>
      <color rgb="FF0C769E"/>
      <color rgb="FFBE5014"/>
      <color rgb="FF3C7D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C485-6F53-4608-B37B-DC0D90C6A183}">
  <dimension ref="B2:AL24"/>
  <sheetViews>
    <sheetView tabSelected="1" topLeftCell="A5" workbookViewId="0">
      <pane xSplit="2" topLeftCell="C1" activePane="topRight" state="frozen"/>
      <selection activeCell="A5" sqref="A5"/>
      <selection pane="topRight" activeCell="AI26" sqref="AI26"/>
    </sheetView>
  </sheetViews>
  <sheetFormatPr defaultRowHeight="15.6" x14ac:dyDescent="0.3"/>
  <cols>
    <col min="2" max="2" width="24.6640625" customWidth="1"/>
    <col min="3" max="33" width="8.88671875" style="5" customWidth="1"/>
    <col min="34" max="34" width="5.88671875" bestFit="1" customWidth="1"/>
    <col min="35" max="35" width="9" bestFit="1" customWidth="1"/>
    <col min="36" max="36" width="7.77734375" bestFit="1" customWidth="1"/>
    <col min="37" max="37" width="6.77734375" bestFit="1" customWidth="1"/>
    <col min="38" max="38" width="19.44140625" bestFit="1" customWidth="1"/>
  </cols>
  <sheetData>
    <row r="2" spans="2:38" ht="25.8" customHeight="1" x14ac:dyDescent="0.3">
      <c r="B2" s="3" t="str">
        <f>"Maandrooster "&amp;PROPER(TEXT(B6,"[$-0813]mmmm yyy"))</f>
        <v>Maandrooster Januari 2026</v>
      </c>
    </row>
    <row r="5" spans="2:38" ht="16.2" thickBot="1" x14ac:dyDescent="0.35">
      <c r="B5" s="1" t="s">
        <v>7</v>
      </c>
      <c r="D5" s="6" t="s">
        <v>8</v>
      </c>
      <c r="E5" s="6" t="s">
        <v>13</v>
      </c>
    </row>
    <row r="6" spans="2:38" ht="16.8" thickTop="1" thickBot="1" x14ac:dyDescent="0.35">
      <c r="B6" s="15">
        <v>46023</v>
      </c>
      <c r="D6" s="7" t="s">
        <v>9</v>
      </c>
      <c r="E6" s="7" t="s">
        <v>11</v>
      </c>
      <c r="F6" s="7"/>
      <c r="G6" s="7"/>
      <c r="H6" s="7"/>
      <c r="I6" s="5" t="s">
        <v>18</v>
      </c>
    </row>
    <row r="7" spans="2:38" ht="16.2" thickTop="1" x14ac:dyDescent="0.3">
      <c r="D7" s="8" t="s">
        <v>1</v>
      </c>
      <c r="E7" s="8" t="s">
        <v>10</v>
      </c>
      <c r="F7" s="8"/>
      <c r="G7" s="8"/>
      <c r="H7" s="8"/>
      <c r="I7" s="5" t="s">
        <v>19</v>
      </c>
    </row>
    <row r="8" spans="2:38" x14ac:dyDescent="0.3">
      <c r="D8" s="9" t="s">
        <v>2</v>
      </c>
      <c r="E8" s="9" t="s">
        <v>12</v>
      </c>
      <c r="F8" s="9"/>
      <c r="G8" s="9"/>
      <c r="H8" s="9"/>
      <c r="I8" s="5" t="s">
        <v>20</v>
      </c>
    </row>
    <row r="10" spans="2:38" s="4" customFormat="1" ht="19.8" customHeight="1" x14ac:dyDescent="0.3">
      <c r="B10" s="11"/>
      <c r="C10" s="12" t="str" cm="1">
        <f t="array" ref="C10:AG10">_xlfn.MAP(_xlfn.SEQUENCE(1, EOMONTH(B6,0)-B6+1, B6), _xlfn.LAMBDA(_xlpm.d, TEXT(_xlpm.d, "d")))</f>
        <v>1</v>
      </c>
      <c r="D10" s="12" t="str">
        <v>2</v>
      </c>
      <c r="E10" s="12" t="str">
        <v>3</v>
      </c>
      <c r="F10" s="12" t="str">
        <v>4</v>
      </c>
      <c r="G10" s="12" t="str">
        <v>5</v>
      </c>
      <c r="H10" s="12" t="str">
        <v>6</v>
      </c>
      <c r="I10" s="12" t="str">
        <v>7</v>
      </c>
      <c r="J10" s="12" t="str">
        <v>8</v>
      </c>
      <c r="K10" s="12" t="str">
        <v>9</v>
      </c>
      <c r="L10" s="12" t="str">
        <v>10</v>
      </c>
      <c r="M10" s="12" t="str">
        <v>11</v>
      </c>
      <c r="N10" s="12" t="str">
        <v>12</v>
      </c>
      <c r="O10" s="12" t="str">
        <v>13</v>
      </c>
      <c r="P10" s="12" t="str">
        <v>14</v>
      </c>
      <c r="Q10" s="12" t="str">
        <v>15</v>
      </c>
      <c r="R10" s="12" t="str">
        <v>16</v>
      </c>
      <c r="S10" s="12" t="str">
        <v>17</v>
      </c>
      <c r="T10" s="12" t="str">
        <v>18</v>
      </c>
      <c r="U10" s="12" t="str">
        <v>19</v>
      </c>
      <c r="V10" s="12" t="str">
        <v>20</v>
      </c>
      <c r="W10" s="12" t="str">
        <v>21</v>
      </c>
      <c r="X10" s="12" t="str">
        <v>22</v>
      </c>
      <c r="Y10" s="12" t="str">
        <v>23</v>
      </c>
      <c r="Z10" s="12" t="str">
        <v>24</v>
      </c>
      <c r="AA10" s="12" t="str">
        <v>25</v>
      </c>
      <c r="AB10" s="12" t="str">
        <v>26</v>
      </c>
      <c r="AC10" s="12" t="str">
        <v>27</v>
      </c>
      <c r="AD10" s="12" t="str">
        <v>28</v>
      </c>
      <c r="AE10" s="12" t="str">
        <v>29</v>
      </c>
      <c r="AF10" s="12" t="str">
        <v>30</v>
      </c>
      <c r="AG10" s="12" t="str">
        <v>31</v>
      </c>
      <c r="AI10" s="17" t="s">
        <v>31</v>
      </c>
      <c r="AJ10" s="17"/>
      <c r="AK10" s="17"/>
      <c r="AL10" s="17"/>
    </row>
    <row r="11" spans="2:38" x14ac:dyDescent="0.3">
      <c r="B11" s="13" t="s">
        <v>14</v>
      </c>
      <c r="C11" s="14" t="str">
        <f>TEXT(C10,"[$-0813]ddd")</f>
        <v>zo</v>
      </c>
      <c r="D11" s="14" t="str">
        <f t="shared" ref="D11:AG11" si="0">TEXT(D10,"[$-0813]ddd")</f>
        <v>ma</v>
      </c>
      <c r="E11" s="14" t="str">
        <f t="shared" si="0"/>
        <v>di</v>
      </c>
      <c r="F11" s="14" t="str">
        <f t="shared" si="0"/>
        <v>wo</v>
      </c>
      <c r="G11" s="14" t="str">
        <f t="shared" si="0"/>
        <v>do</v>
      </c>
      <c r="H11" s="14" t="str">
        <f t="shared" si="0"/>
        <v>vr</v>
      </c>
      <c r="I11" s="14" t="str">
        <f t="shared" si="0"/>
        <v>za</v>
      </c>
      <c r="J11" s="14" t="str">
        <f t="shared" si="0"/>
        <v>zo</v>
      </c>
      <c r="K11" s="14" t="str">
        <f t="shared" si="0"/>
        <v>ma</v>
      </c>
      <c r="L11" s="14" t="str">
        <f t="shared" si="0"/>
        <v>di</v>
      </c>
      <c r="M11" s="14" t="str">
        <f t="shared" si="0"/>
        <v>wo</v>
      </c>
      <c r="N11" s="14" t="str">
        <f t="shared" si="0"/>
        <v>do</v>
      </c>
      <c r="O11" s="14" t="str">
        <f t="shared" si="0"/>
        <v>vr</v>
      </c>
      <c r="P11" s="14" t="str">
        <f t="shared" si="0"/>
        <v>za</v>
      </c>
      <c r="Q11" s="14" t="str">
        <f t="shared" si="0"/>
        <v>zo</v>
      </c>
      <c r="R11" s="14" t="str">
        <f t="shared" si="0"/>
        <v>ma</v>
      </c>
      <c r="S11" s="14" t="str">
        <f t="shared" si="0"/>
        <v>di</v>
      </c>
      <c r="T11" s="14" t="str">
        <f t="shared" si="0"/>
        <v>wo</v>
      </c>
      <c r="U11" s="14" t="str">
        <f t="shared" si="0"/>
        <v>do</v>
      </c>
      <c r="V11" s="14" t="str">
        <f t="shared" si="0"/>
        <v>vr</v>
      </c>
      <c r="W11" s="14" t="str">
        <f t="shared" si="0"/>
        <v>za</v>
      </c>
      <c r="X11" s="14" t="str">
        <f t="shared" si="0"/>
        <v>zo</v>
      </c>
      <c r="Y11" s="14" t="str">
        <f t="shared" si="0"/>
        <v>ma</v>
      </c>
      <c r="Z11" s="14" t="str">
        <f t="shared" si="0"/>
        <v>di</v>
      </c>
      <c r="AA11" s="14" t="str">
        <f t="shared" si="0"/>
        <v>wo</v>
      </c>
      <c r="AB11" s="14" t="str">
        <f t="shared" si="0"/>
        <v>do</v>
      </c>
      <c r="AC11" s="14" t="str">
        <f t="shared" si="0"/>
        <v>vr</v>
      </c>
      <c r="AD11" s="14" t="str">
        <f t="shared" si="0"/>
        <v>za</v>
      </c>
      <c r="AE11" s="14" t="str">
        <f t="shared" si="0"/>
        <v>zo</v>
      </c>
      <c r="AF11" s="14" t="str">
        <f t="shared" si="0"/>
        <v>ma</v>
      </c>
      <c r="AG11" s="14" t="str">
        <f t="shared" si="0"/>
        <v>di</v>
      </c>
      <c r="AI11" s="7" t="s">
        <v>15</v>
      </c>
      <c r="AJ11" s="8" t="s">
        <v>16</v>
      </c>
      <c r="AK11" s="9" t="s">
        <v>17</v>
      </c>
      <c r="AL11" s="16" t="s">
        <v>29</v>
      </c>
    </row>
    <row r="12" spans="2:38" x14ac:dyDescent="0.3">
      <c r="B12" t="s">
        <v>3</v>
      </c>
      <c r="C12" s="10" t="s">
        <v>24</v>
      </c>
      <c r="D12" s="10" t="s">
        <v>9</v>
      </c>
      <c r="E12" s="10" t="s">
        <v>9</v>
      </c>
      <c r="F12" s="10" t="s">
        <v>9</v>
      </c>
      <c r="G12" s="10" t="s">
        <v>9</v>
      </c>
      <c r="H12" s="10" t="s">
        <v>24</v>
      </c>
      <c r="I12" s="10" t="s">
        <v>24</v>
      </c>
      <c r="J12" s="10" t="s">
        <v>24</v>
      </c>
      <c r="K12" s="10" t="s">
        <v>1</v>
      </c>
      <c r="L12" s="10" t="s">
        <v>1</v>
      </c>
      <c r="M12" s="10" t="s">
        <v>1</v>
      </c>
      <c r="N12" s="10" t="s">
        <v>1</v>
      </c>
      <c r="O12" s="10" t="s">
        <v>24</v>
      </c>
      <c r="P12" s="10" t="s">
        <v>24</v>
      </c>
      <c r="Q12" s="10" t="s">
        <v>24</v>
      </c>
      <c r="R12" s="10" t="s">
        <v>2</v>
      </c>
      <c r="S12" s="10" t="s">
        <v>2</v>
      </c>
      <c r="T12" s="10" t="s">
        <v>2</v>
      </c>
      <c r="U12" s="10" t="s">
        <v>2</v>
      </c>
      <c r="V12" s="10" t="s">
        <v>24</v>
      </c>
      <c r="W12" s="10" t="s">
        <v>24</v>
      </c>
      <c r="X12" s="10" t="s">
        <v>24</v>
      </c>
      <c r="Y12" s="10" t="s">
        <v>9</v>
      </c>
      <c r="Z12" s="10" t="s">
        <v>9</v>
      </c>
      <c r="AA12" s="10" t="s">
        <v>9</v>
      </c>
      <c r="AB12" s="10" t="s">
        <v>9</v>
      </c>
      <c r="AC12" s="10" t="s">
        <v>24</v>
      </c>
      <c r="AD12" s="10" t="s">
        <v>24</v>
      </c>
      <c r="AE12" s="10" t="s">
        <v>24</v>
      </c>
      <c r="AF12" s="10" t="s">
        <v>26</v>
      </c>
      <c r="AG12" s="10" t="s">
        <v>26</v>
      </c>
      <c r="AI12" s="7">
        <f>COUNTIF($C12:$AG12,"O")</f>
        <v>8</v>
      </c>
      <c r="AJ12" s="8">
        <f>COUNTIF($C12:$AG12,"M")</f>
        <v>4</v>
      </c>
      <c r="AK12" s="9">
        <f>COUNTIF($C12:$AG12,"A")</f>
        <v>4</v>
      </c>
      <c r="AL12">
        <f>SUM(AI12:AK12)</f>
        <v>16</v>
      </c>
    </row>
    <row r="13" spans="2:38" x14ac:dyDescent="0.3">
      <c r="B13" t="s">
        <v>4</v>
      </c>
      <c r="C13" s="10" t="s">
        <v>2</v>
      </c>
      <c r="D13" s="10" t="s">
        <v>2</v>
      </c>
      <c r="E13" s="10" t="s">
        <v>2</v>
      </c>
      <c r="F13" s="10" t="s">
        <v>27</v>
      </c>
      <c r="G13" s="10" t="s">
        <v>27</v>
      </c>
      <c r="H13" s="10" t="s">
        <v>24</v>
      </c>
      <c r="I13" s="10" t="s">
        <v>24</v>
      </c>
      <c r="J13" s="10" t="s">
        <v>2</v>
      </c>
      <c r="K13" s="10" t="s">
        <v>2</v>
      </c>
      <c r="L13" s="10" t="s">
        <v>2</v>
      </c>
      <c r="M13" s="10" t="s">
        <v>2</v>
      </c>
      <c r="N13" s="10" t="s">
        <v>2</v>
      </c>
      <c r="O13" s="10" t="s">
        <v>24</v>
      </c>
      <c r="P13" s="10" t="s">
        <v>24</v>
      </c>
      <c r="Q13" s="10" t="s">
        <v>2</v>
      </c>
      <c r="R13" s="10" t="s">
        <v>2</v>
      </c>
      <c r="S13" s="10" t="s">
        <v>2</v>
      </c>
      <c r="T13" s="10" t="s">
        <v>2</v>
      </c>
      <c r="U13" s="10" t="s">
        <v>2</v>
      </c>
      <c r="V13" s="10" t="s">
        <v>24</v>
      </c>
      <c r="W13" s="10" t="s">
        <v>24</v>
      </c>
      <c r="X13" s="10" t="s">
        <v>2</v>
      </c>
      <c r="Y13" s="10" t="s">
        <v>2</v>
      </c>
      <c r="Z13" s="10" t="s">
        <v>2</v>
      </c>
      <c r="AA13" s="10" t="s">
        <v>2</v>
      </c>
      <c r="AB13" s="10" t="s">
        <v>2</v>
      </c>
      <c r="AC13" s="10" t="s">
        <v>24</v>
      </c>
      <c r="AD13" s="10" t="s">
        <v>24</v>
      </c>
      <c r="AE13" s="10" t="s">
        <v>2</v>
      </c>
      <c r="AF13" s="10" t="s">
        <v>2</v>
      </c>
      <c r="AG13" s="10" t="s">
        <v>2</v>
      </c>
      <c r="AI13" s="7">
        <f t="shared" ref="AI13:AI17" si="1">COUNTIF($C13:$AG13,"O")</f>
        <v>0</v>
      </c>
      <c r="AJ13" s="8">
        <f t="shared" ref="AJ13:AJ17" si="2">COUNTIF($C13:$AG13,"M")</f>
        <v>0</v>
      </c>
      <c r="AK13" s="9">
        <f t="shared" ref="AK13:AK17" si="3">COUNTIF($C13:$AG13,"A")</f>
        <v>21</v>
      </c>
      <c r="AL13">
        <f t="shared" ref="AL13:AL17" si="4">SUM(AI13:AK13)</f>
        <v>21</v>
      </c>
    </row>
    <row r="14" spans="2:38" x14ac:dyDescent="0.3">
      <c r="B14" t="s">
        <v>28</v>
      </c>
      <c r="C14" s="10" t="s">
        <v>1</v>
      </c>
      <c r="D14" s="10" t="s">
        <v>24</v>
      </c>
      <c r="E14" s="10" t="s">
        <v>24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24</v>
      </c>
      <c r="L14" s="10" t="s">
        <v>24</v>
      </c>
      <c r="M14" s="10" t="s">
        <v>9</v>
      </c>
      <c r="N14" s="10" t="s">
        <v>9</v>
      </c>
      <c r="O14" s="10" t="s">
        <v>9</v>
      </c>
      <c r="P14" s="10" t="s">
        <v>9</v>
      </c>
      <c r="Q14" s="10" t="s">
        <v>9</v>
      </c>
      <c r="R14" s="10" t="s">
        <v>24</v>
      </c>
      <c r="S14" s="10" t="s">
        <v>24</v>
      </c>
      <c r="T14" s="10" t="s">
        <v>1</v>
      </c>
      <c r="U14" s="10" t="s">
        <v>1</v>
      </c>
      <c r="V14" s="10" t="s">
        <v>1</v>
      </c>
      <c r="W14" s="10" t="s">
        <v>1</v>
      </c>
      <c r="X14" s="10" t="s">
        <v>1</v>
      </c>
      <c r="Y14" s="10" t="s">
        <v>26</v>
      </c>
      <c r="Z14" s="10" t="s">
        <v>26</v>
      </c>
      <c r="AA14" s="10" t="s">
        <v>26</v>
      </c>
      <c r="AB14" s="10" t="s">
        <v>26</v>
      </c>
      <c r="AC14" s="10" t="s">
        <v>26</v>
      </c>
      <c r="AD14" s="10" t="s">
        <v>26</v>
      </c>
      <c r="AE14" s="10" t="s">
        <v>26</v>
      </c>
      <c r="AF14" s="10" t="s">
        <v>26</v>
      </c>
      <c r="AG14" s="10" t="s">
        <v>26</v>
      </c>
      <c r="AI14" s="7">
        <f t="shared" si="1"/>
        <v>5</v>
      </c>
      <c r="AJ14" s="8">
        <f t="shared" si="2"/>
        <v>11</v>
      </c>
      <c r="AK14" s="9">
        <f t="shared" si="3"/>
        <v>0</v>
      </c>
      <c r="AL14">
        <f t="shared" si="4"/>
        <v>16</v>
      </c>
    </row>
    <row r="15" spans="2:38" x14ac:dyDescent="0.3">
      <c r="B15" t="s">
        <v>5</v>
      </c>
      <c r="C15" s="10" t="s">
        <v>26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 t="s">
        <v>26</v>
      </c>
      <c r="I15" s="10" t="s">
        <v>24</v>
      </c>
      <c r="J15" s="10" t="s">
        <v>24</v>
      </c>
      <c r="K15" s="10" t="s">
        <v>9</v>
      </c>
      <c r="L15" s="10" t="s">
        <v>9</v>
      </c>
      <c r="M15" s="10" t="s">
        <v>9</v>
      </c>
      <c r="N15" s="10" t="s">
        <v>9</v>
      </c>
      <c r="O15" s="10" t="s">
        <v>9</v>
      </c>
      <c r="P15" s="10" t="s">
        <v>24</v>
      </c>
      <c r="Q15" s="10" t="s">
        <v>24</v>
      </c>
      <c r="R15" s="10" t="s">
        <v>9</v>
      </c>
      <c r="S15" s="10" t="s">
        <v>9</v>
      </c>
      <c r="T15" s="10" t="s">
        <v>9</v>
      </c>
      <c r="U15" s="10" t="s">
        <v>9</v>
      </c>
      <c r="V15" s="10" t="s">
        <v>9</v>
      </c>
      <c r="W15" s="10" t="s">
        <v>24</v>
      </c>
      <c r="X15" s="10" t="s">
        <v>24</v>
      </c>
      <c r="Y15" s="10" t="s">
        <v>9</v>
      </c>
      <c r="Z15" s="10" t="s">
        <v>9</v>
      </c>
      <c r="AA15" s="10" t="s">
        <v>9</v>
      </c>
      <c r="AB15" s="10" t="s">
        <v>9</v>
      </c>
      <c r="AC15" s="10" t="s">
        <v>9</v>
      </c>
      <c r="AD15" s="10" t="s">
        <v>24</v>
      </c>
      <c r="AE15" s="10" t="s">
        <v>24</v>
      </c>
      <c r="AF15" s="10" t="s">
        <v>9</v>
      </c>
      <c r="AG15" s="10" t="s">
        <v>27</v>
      </c>
      <c r="AI15" s="7">
        <f t="shared" si="1"/>
        <v>16</v>
      </c>
      <c r="AJ15" s="8">
        <f t="shared" si="2"/>
        <v>0</v>
      </c>
      <c r="AK15" s="9">
        <f t="shared" si="3"/>
        <v>0</v>
      </c>
      <c r="AL15">
        <f t="shared" si="4"/>
        <v>16</v>
      </c>
    </row>
    <row r="16" spans="2:38" x14ac:dyDescent="0.3">
      <c r="B16" t="s">
        <v>0</v>
      </c>
      <c r="C16" s="10" t="s">
        <v>26</v>
      </c>
      <c r="D16" s="10" t="s">
        <v>9</v>
      </c>
      <c r="E16" s="10" t="s">
        <v>9</v>
      </c>
      <c r="F16" s="10" t="s">
        <v>24</v>
      </c>
      <c r="G16" s="10" t="s">
        <v>24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</v>
      </c>
      <c r="M16" s="10" t="s">
        <v>24</v>
      </c>
      <c r="N16" s="10" t="s">
        <v>24</v>
      </c>
      <c r="O16" s="10" t="s">
        <v>27</v>
      </c>
      <c r="P16" s="10" t="s">
        <v>1</v>
      </c>
      <c r="Q16" s="10" t="s">
        <v>1</v>
      </c>
      <c r="R16" s="10" t="s">
        <v>1</v>
      </c>
      <c r="S16" s="10" t="s">
        <v>1</v>
      </c>
      <c r="T16" s="10" t="s">
        <v>24</v>
      </c>
      <c r="U16" s="10" t="s">
        <v>24</v>
      </c>
      <c r="V16" s="10" t="s">
        <v>2</v>
      </c>
      <c r="W16" s="10" t="s">
        <v>2</v>
      </c>
      <c r="X16" s="10" t="s">
        <v>2</v>
      </c>
      <c r="Y16" s="10" t="s">
        <v>2</v>
      </c>
      <c r="Z16" s="10" t="s">
        <v>2</v>
      </c>
      <c r="AA16" s="10" t="s">
        <v>24</v>
      </c>
      <c r="AB16" s="10" t="s">
        <v>24</v>
      </c>
      <c r="AC16" s="10" t="s">
        <v>2</v>
      </c>
      <c r="AD16" s="10" t="s">
        <v>2</v>
      </c>
      <c r="AE16" s="10" t="s">
        <v>2</v>
      </c>
      <c r="AF16" s="10" t="s">
        <v>27</v>
      </c>
      <c r="AG16" s="10" t="s">
        <v>27</v>
      </c>
      <c r="AI16" s="7">
        <f t="shared" si="1"/>
        <v>2</v>
      </c>
      <c r="AJ16" s="8">
        <f t="shared" si="2"/>
        <v>9</v>
      </c>
      <c r="AK16" s="9">
        <f t="shared" si="3"/>
        <v>8</v>
      </c>
      <c r="AL16">
        <f t="shared" si="4"/>
        <v>19</v>
      </c>
    </row>
    <row r="17" spans="2:38" x14ac:dyDescent="0.3">
      <c r="B17" t="s">
        <v>6</v>
      </c>
      <c r="C17" s="10" t="s">
        <v>26</v>
      </c>
      <c r="D17" s="10" t="s">
        <v>26</v>
      </c>
      <c r="E17" s="10" t="s">
        <v>26</v>
      </c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 t="s">
        <v>26</v>
      </c>
      <c r="M17" s="10" t="s">
        <v>26</v>
      </c>
      <c r="N17" s="10" t="s">
        <v>26</v>
      </c>
      <c r="O17" s="10" t="s">
        <v>26</v>
      </c>
      <c r="P17" s="10" t="s">
        <v>2</v>
      </c>
      <c r="Q17" s="10" t="s">
        <v>24</v>
      </c>
      <c r="R17" s="10" t="s">
        <v>24</v>
      </c>
      <c r="S17" s="10" t="s">
        <v>1</v>
      </c>
      <c r="T17" s="10" t="s">
        <v>1</v>
      </c>
      <c r="U17" s="10" t="s">
        <v>27</v>
      </c>
      <c r="V17" s="10" t="s">
        <v>27</v>
      </c>
      <c r="W17" s="10" t="s">
        <v>27</v>
      </c>
      <c r="X17" s="10" t="s">
        <v>24</v>
      </c>
      <c r="Y17" s="10" t="s">
        <v>24</v>
      </c>
      <c r="Z17" s="10" t="s">
        <v>9</v>
      </c>
      <c r="AA17" s="10" t="s">
        <v>9</v>
      </c>
      <c r="AB17" s="10" t="s">
        <v>9</v>
      </c>
      <c r="AC17" s="10" t="s">
        <v>9</v>
      </c>
      <c r="AD17" s="10" t="s">
        <v>9</v>
      </c>
      <c r="AE17" s="10" t="s">
        <v>1</v>
      </c>
      <c r="AF17" s="10" t="s">
        <v>1</v>
      </c>
      <c r="AG17" s="10" t="s">
        <v>1</v>
      </c>
      <c r="AI17" s="7">
        <f t="shared" si="1"/>
        <v>5</v>
      </c>
      <c r="AJ17" s="8">
        <f t="shared" si="2"/>
        <v>5</v>
      </c>
      <c r="AK17" s="9">
        <f t="shared" si="3"/>
        <v>1</v>
      </c>
      <c r="AL17">
        <f t="shared" si="4"/>
        <v>11</v>
      </c>
    </row>
    <row r="18" spans="2:38" ht="16.2" thickBot="1" x14ac:dyDescent="0.35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" t="s">
        <v>30</v>
      </c>
      <c r="AI18" s="2">
        <f>SUM(AI12:AI17)</f>
        <v>36</v>
      </c>
      <c r="AJ18" s="2">
        <f>SUM(AJ12:AJ17)</f>
        <v>29</v>
      </c>
      <c r="AK18" s="2">
        <f>SUM(AK12:AK17)</f>
        <v>34</v>
      </c>
    </row>
    <row r="19" spans="2:38" ht="16.2" thickTop="1" x14ac:dyDescent="0.3">
      <c r="B19" s="2" t="s">
        <v>22</v>
      </c>
      <c r="C19" s="18" cm="1">
        <f t="array" ref="C19">SUM(COUNTIF(C12:C17,{"O","M","A"}))</f>
        <v>2</v>
      </c>
      <c r="D19" s="18" cm="1">
        <f t="array" ref="D19">SUM(COUNTIF(D12:D17,{"O","M","A"}))</f>
        <v>3</v>
      </c>
      <c r="E19" s="18" cm="1">
        <f t="array" ref="E19">SUM(COUNTIF(E12:E17,{"O","M","A"}))</f>
        <v>3</v>
      </c>
      <c r="F19" s="18" cm="1">
        <f t="array" ref="F19">SUM(COUNTIF(F12:F17,{"O","M","A"}))</f>
        <v>2</v>
      </c>
      <c r="G19" s="18" cm="1">
        <f t="array" ref="G19">SUM(COUNTIF(G12:G17,{"O","M","A"}))</f>
        <v>2</v>
      </c>
      <c r="H19" s="18" cm="1">
        <f t="array" ref="H19">SUM(COUNTIF(H12:H17,{"O","M","A"}))</f>
        <v>2</v>
      </c>
      <c r="I19" s="18" cm="1">
        <f t="array" ref="I19">SUM(COUNTIF(I12:I17,{"O","M","A"}))</f>
        <v>2</v>
      </c>
      <c r="J19" s="18" cm="1">
        <f t="array" ref="J19">SUM(COUNTIF(J12:J17,{"O","M","A"}))</f>
        <v>3</v>
      </c>
      <c r="K19" s="18" cm="1">
        <f t="array" ref="K19">SUM(COUNTIF(K12:K17,{"O","M","A"}))</f>
        <v>4</v>
      </c>
      <c r="L19" s="18" cm="1">
        <f t="array" ref="L19">SUM(COUNTIF(L12:L17,{"O","M","A"}))</f>
        <v>4</v>
      </c>
      <c r="M19" s="18" cm="1">
        <f t="array" ref="M19">SUM(COUNTIF(M12:M17,{"O","M","A"}))</f>
        <v>4</v>
      </c>
      <c r="N19" s="18" cm="1">
        <f t="array" ref="N19">SUM(COUNTIF(N12:N17,{"O","M","A"}))</f>
        <v>4</v>
      </c>
      <c r="O19" s="18" cm="1">
        <f t="array" ref="O19">SUM(COUNTIF(O12:O17,{"O","M","A"}))</f>
        <v>2</v>
      </c>
      <c r="P19" s="18" cm="1">
        <f t="array" ref="P19">SUM(COUNTIF(P12:P17,{"O","M","A"}))</f>
        <v>3</v>
      </c>
      <c r="Q19" s="18" cm="1">
        <f t="array" ref="Q19">SUM(COUNTIF(Q12:Q17,{"O","M","A"}))</f>
        <v>3</v>
      </c>
      <c r="R19" s="18" cm="1">
        <f t="array" ref="R19">SUM(COUNTIF(R12:R17,{"O","M","A"}))</f>
        <v>4</v>
      </c>
      <c r="S19" s="18" cm="1">
        <f t="array" ref="S19">SUM(COUNTIF(S12:S17,{"O","M","A"}))</f>
        <v>5</v>
      </c>
      <c r="T19" s="18" cm="1">
        <f t="array" ref="T19">SUM(COUNTIF(T12:T17,{"O","M","A"}))</f>
        <v>5</v>
      </c>
      <c r="U19" s="18" cm="1">
        <f t="array" ref="U19">SUM(COUNTIF(U12:U17,{"O","M","A"}))</f>
        <v>4</v>
      </c>
      <c r="V19" s="18" cm="1">
        <f t="array" ref="V19">SUM(COUNTIF(V12:V17,{"O","M","A"}))</f>
        <v>3</v>
      </c>
      <c r="W19" s="18" cm="1">
        <f t="array" ref="W19">SUM(COUNTIF(W12:W17,{"O","M","A"}))</f>
        <v>2</v>
      </c>
      <c r="X19" s="18" cm="1">
        <f t="array" ref="X19">SUM(COUNTIF(X12:X17,{"O","M","A"}))</f>
        <v>3</v>
      </c>
      <c r="Y19" s="18" cm="1">
        <f t="array" ref="Y19">SUM(COUNTIF(Y12:Y17,{"O","M","A"}))</f>
        <v>4</v>
      </c>
      <c r="Z19" s="18" cm="1">
        <f t="array" ref="Z19">SUM(COUNTIF(Z12:Z17,{"O","M","A"}))</f>
        <v>5</v>
      </c>
      <c r="AA19" s="18" cm="1">
        <f t="array" ref="AA19">SUM(COUNTIF(AA12:AA17,{"O","M","A"}))</f>
        <v>4</v>
      </c>
      <c r="AB19" s="18" cm="1">
        <f t="array" ref="AB19">SUM(COUNTIF(AB12:AB17,{"O","M","A"}))</f>
        <v>4</v>
      </c>
      <c r="AC19" s="18" cm="1">
        <f t="array" ref="AC19">SUM(COUNTIF(AC12:AC17,{"O","M","A"}))</f>
        <v>3</v>
      </c>
      <c r="AD19" s="18" cm="1">
        <f t="array" ref="AD19">SUM(COUNTIF(AD12:AD17,{"O","M","A"}))</f>
        <v>2</v>
      </c>
      <c r="AE19" s="18" cm="1">
        <f t="array" ref="AE19">SUM(COUNTIF(AE12:AE17,{"O","M","A"}))</f>
        <v>3</v>
      </c>
      <c r="AF19" s="18" cm="1">
        <f t="array" ref="AF19">SUM(COUNTIF(AF12:AF17,{"O","M","A"}))</f>
        <v>3</v>
      </c>
      <c r="AG19" s="18" cm="1">
        <f t="array" ref="AG19">SUM(COUNTIF(AG12:AG17,{"O","M","A"}))</f>
        <v>2</v>
      </c>
      <c r="AH19" s="10"/>
      <c r="AI19" s="10"/>
    </row>
    <row r="20" spans="2:38" x14ac:dyDescent="0.3">
      <c r="B20" s="2" t="s">
        <v>21</v>
      </c>
      <c r="C20" s="10" cm="1">
        <f t="array" ref="C20">SUM(COUNTIF(C12:C17,{"*Z*"}))</f>
        <v>0</v>
      </c>
      <c r="D20" s="10" cm="1">
        <f t="array" ref="D20">SUM(COUNTIF(D12:D17,{"*Z*"}))</f>
        <v>0</v>
      </c>
      <c r="E20" s="10" cm="1">
        <f t="array" ref="E20">SUM(COUNTIF(E12:E17,{"*Z*"}))</f>
        <v>0</v>
      </c>
      <c r="F20" s="10" cm="1">
        <f t="array" ref="F20">SUM(COUNTIF(F12:F17,{"*Z*"}))</f>
        <v>1</v>
      </c>
      <c r="G20" s="10" cm="1">
        <f t="array" ref="G20">SUM(COUNTIF(G12:G17,{"*Z*"}))</f>
        <v>1</v>
      </c>
      <c r="H20" s="10" cm="1">
        <f t="array" ref="H20">SUM(COUNTIF(H12:H17,{"*Z*"}))</f>
        <v>0</v>
      </c>
      <c r="I20" s="10" cm="1">
        <f t="array" ref="I20">SUM(COUNTIF(I12:I17,{"*Z*"}))</f>
        <v>0</v>
      </c>
      <c r="J20" s="10" cm="1">
        <f t="array" ref="J20">SUM(COUNTIF(J12:J17,{"*Z*"}))</f>
        <v>0</v>
      </c>
      <c r="K20" s="10" cm="1">
        <f t="array" ref="K20">SUM(COUNTIF(K12:K17,{"*Z*"}))</f>
        <v>0</v>
      </c>
      <c r="L20" s="10" cm="1">
        <f t="array" ref="L20">SUM(COUNTIF(L12:L17,{"*Z*"}))</f>
        <v>0</v>
      </c>
      <c r="M20" s="10" cm="1">
        <f t="array" ref="M20">SUM(COUNTIF(M12:M17,{"*Z*"}))</f>
        <v>0</v>
      </c>
      <c r="N20" s="10" cm="1">
        <f t="array" ref="N20">SUM(COUNTIF(N12:N17,{"*Z*"}))</f>
        <v>0</v>
      </c>
      <c r="O20" s="10" cm="1">
        <f t="array" ref="O20">SUM(COUNTIF(O12:O17,{"*Z*"}))</f>
        <v>1</v>
      </c>
      <c r="P20" s="10" cm="1">
        <f t="array" ref="P20">SUM(COUNTIF(P12:P17,{"*Z*"}))</f>
        <v>0</v>
      </c>
      <c r="Q20" s="10" cm="1">
        <f t="array" ref="Q20">SUM(COUNTIF(Q12:Q17,{"*Z*"}))</f>
        <v>0</v>
      </c>
      <c r="R20" s="10" cm="1">
        <f t="array" ref="R20">SUM(COUNTIF(R12:R17,{"*Z*"}))</f>
        <v>0</v>
      </c>
      <c r="S20" s="10" cm="1">
        <f t="array" ref="S20">SUM(COUNTIF(S12:S17,{"*Z*"}))</f>
        <v>0</v>
      </c>
      <c r="T20" s="10" cm="1">
        <f t="array" ref="T20">SUM(COUNTIF(T12:T17,{"*Z*"}))</f>
        <v>0</v>
      </c>
      <c r="U20" s="10" cm="1">
        <f t="array" ref="U20">SUM(COUNTIF(U12:U17,{"*Z*"}))</f>
        <v>1</v>
      </c>
      <c r="V20" s="10" cm="1">
        <f t="array" ref="V20">SUM(COUNTIF(V12:V17,{"*Z*"}))</f>
        <v>1</v>
      </c>
      <c r="W20" s="10" cm="1">
        <f t="array" ref="W20">SUM(COUNTIF(W12:W17,{"*Z*"}))</f>
        <v>1</v>
      </c>
      <c r="X20" s="10" cm="1">
        <f t="array" ref="X20">SUM(COUNTIF(X12:X17,{"*Z*"}))</f>
        <v>0</v>
      </c>
      <c r="Y20" s="10" cm="1">
        <f t="array" ref="Y20">SUM(COUNTIF(Y12:Y17,{"*Z*"}))</f>
        <v>0</v>
      </c>
      <c r="Z20" s="10" cm="1">
        <f t="array" ref="Z20">SUM(COUNTIF(Z12:Z17,{"*Z*"}))</f>
        <v>0</v>
      </c>
      <c r="AA20" s="10" cm="1">
        <f t="array" ref="AA20">SUM(COUNTIF(AA12:AA17,{"*Z*"}))</f>
        <v>0</v>
      </c>
      <c r="AB20" s="10" cm="1">
        <f t="array" ref="AB20">SUM(COUNTIF(AB12:AB17,{"*Z*"}))</f>
        <v>0</v>
      </c>
      <c r="AC20" s="10" cm="1">
        <f t="array" ref="AC20">SUM(COUNTIF(AC12:AC17,{"*Z*"}))</f>
        <v>0</v>
      </c>
      <c r="AD20" s="10" cm="1">
        <f t="array" ref="AD20">SUM(COUNTIF(AD12:AD17,{"*Z*"}))</f>
        <v>0</v>
      </c>
      <c r="AE20" s="10" cm="1">
        <f t="array" ref="AE20">SUM(COUNTIF(AE12:AE17,{"*Z*"}))</f>
        <v>0</v>
      </c>
      <c r="AF20" s="10" cm="1">
        <f t="array" ref="AF20">SUM(COUNTIF(AF12:AF17,{"*Z*"}))</f>
        <v>1</v>
      </c>
      <c r="AG20" s="10" cm="1">
        <f t="array" ref="AG20">SUM(COUNTIF(AG12:AG17,{"*Z*"}))</f>
        <v>2</v>
      </c>
    </row>
    <row r="21" spans="2:38" x14ac:dyDescent="0.3">
      <c r="B21" s="2" t="s">
        <v>23</v>
      </c>
      <c r="C21" s="10" cm="1">
        <f t="array" ref="C21">SUM(COUNTIF(C13:C18,{"V"}))</f>
        <v>0</v>
      </c>
      <c r="D21" s="10" cm="1">
        <f t="array" ref="D21">SUM(COUNTIF(D13:D18,{"V"}))</f>
        <v>1</v>
      </c>
      <c r="E21" s="10" cm="1">
        <f t="array" ref="E21">SUM(COUNTIF(E13:E18,{"V"}))</f>
        <v>1</v>
      </c>
      <c r="F21" s="10" cm="1">
        <f t="array" ref="F21">SUM(COUNTIF(F13:F18,{"V"}))</f>
        <v>1</v>
      </c>
      <c r="G21" s="10" cm="1">
        <f t="array" ref="G21">SUM(COUNTIF(G13:G18,{"V"}))</f>
        <v>1</v>
      </c>
      <c r="H21" s="10" cm="1">
        <f t="array" ref="H21">SUM(COUNTIF(H13:H18,{"V"}))</f>
        <v>1</v>
      </c>
      <c r="I21" s="10" cm="1">
        <f t="array" ref="I21">SUM(COUNTIF(I13:I18,{"V"}))</f>
        <v>2</v>
      </c>
      <c r="J21" s="10" cm="1">
        <f t="array" ref="J21">SUM(COUNTIF(J13:J18,{"V"}))</f>
        <v>1</v>
      </c>
      <c r="K21" s="10" cm="1">
        <f t="array" ref="K21">SUM(COUNTIF(K13:K18,{"V"}))</f>
        <v>1</v>
      </c>
      <c r="L21" s="10" cm="1">
        <f t="array" ref="L21">SUM(COUNTIF(L13:L18,{"V"}))</f>
        <v>1</v>
      </c>
      <c r="M21" s="10" cm="1">
        <f t="array" ref="M21">SUM(COUNTIF(M13:M18,{"V"}))</f>
        <v>1</v>
      </c>
      <c r="N21" s="10" cm="1">
        <f t="array" ref="N21">SUM(COUNTIF(N13:N18,{"V"}))</f>
        <v>1</v>
      </c>
      <c r="O21" s="10" cm="1">
        <f t="array" ref="O21">SUM(COUNTIF(O13:O18,{"V"}))</f>
        <v>1</v>
      </c>
      <c r="P21" s="10" cm="1">
        <f t="array" ref="P21">SUM(COUNTIF(P13:P18,{"V"}))</f>
        <v>2</v>
      </c>
      <c r="Q21" s="10" cm="1">
        <f t="array" ref="Q21">SUM(COUNTIF(Q13:Q18,{"V"}))</f>
        <v>2</v>
      </c>
      <c r="R21" s="10" cm="1">
        <f t="array" ref="R21">SUM(COUNTIF(R13:R18,{"V"}))</f>
        <v>2</v>
      </c>
      <c r="S21" s="10" cm="1">
        <f t="array" ref="S21">SUM(COUNTIF(S13:S18,{"V"}))</f>
        <v>1</v>
      </c>
      <c r="T21" s="10" cm="1">
        <f t="array" ref="T21">SUM(COUNTIF(T13:T18,{"V"}))</f>
        <v>1</v>
      </c>
      <c r="U21" s="10" cm="1">
        <f t="array" ref="U21">SUM(COUNTIF(U13:U18,{"V"}))</f>
        <v>1</v>
      </c>
      <c r="V21" s="10" cm="1">
        <f t="array" ref="V21">SUM(COUNTIF(V13:V18,{"V"}))</f>
        <v>1</v>
      </c>
      <c r="W21" s="10" cm="1">
        <f t="array" ref="W21">SUM(COUNTIF(W13:W18,{"V"}))</f>
        <v>2</v>
      </c>
      <c r="X21" s="10" cm="1">
        <f t="array" ref="X21">SUM(COUNTIF(X13:X18,{"V"}))</f>
        <v>2</v>
      </c>
      <c r="Y21" s="10" cm="1">
        <f t="array" ref="Y21">SUM(COUNTIF(Y13:Y18,{"V"}))</f>
        <v>1</v>
      </c>
      <c r="Z21" s="10" cm="1">
        <f t="array" ref="Z21">SUM(COUNTIF(Z13:Z18,{"V"}))</f>
        <v>0</v>
      </c>
      <c r="AA21" s="10" cm="1">
        <f t="array" ref="AA21">SUM(COUNTIF(AA13:AA18,{"V"}))</f>
        <v>1</v>
      </c>
      <c r="AB21" s="10" cm="1">
        <f t="array" ref="AB21">SUM(COUNTIF(AB13:AB18,{"V"}))</f>
        <v>1</v>
      </c>
      <c r="AC21" s="10" cm="1">
        <f t="array" ref="AC21">SUM(COUNTIF(AC13:AC18,{"V"}))</f>
        <v>1</v>
      </c>
      <c r="AD21" s="10" cm="1">
        <f t="array" ref="AD21">SUM(COUNTIF(AD13:AD18,{"V"}))</f>
        <v>2</v>
      </c>
      <c r="AE21" s="10" cm="1">
        <f t="array" ref="AE21">SUM(COUNTIF(AE13:AE18,{"V"}))</f>
        <v>1</v>
      </c>
      <c r="AF21" s="10" cm="1">
        <f t="array" ref="AF21">SUM(COUNTIF(AF13:AF18,{"V"}))</f>
        <v>0</v>
      </c>
      <c r="AG21" s="10" cm="1">
        <f t="array" ref="AG21">SUM(COUNTIF(AG13:AG18,{"V"}))</f>
        <v>0</v>
      </c>
    </row>
    <row r="22" spans="2:38" x14ac:dyDescent="0.3">
      <c r="B22" s="2" t="s">
        <v>25</v>
      </c>
      <c r="C22" s="10" cm="1">
        <f t="array" ref="C22">SUM(COUNTIF(C13:C18,{"*VAK*"}))</f>
        <v>3</v>
      </c>
      <c r="D22" s="10" cm="1">
        <f t="array" ref="D22">SUM(COUNTIF(D13:D18,{"*VAK*"}))</f>
        <v>2</v>
      </c>
      <c r="E22" s="10" cm="1">
        <f t="array" ref="E22">SUM(COUNTIF(E13:E18,{"*VAK*"}))</f>
        <v>2</v>
      </c>
      <c r="F22" s="10" cm="1">
        <f t="array" ref="F22">SUM(COUNTIF(F13:F18,{"*VAK*"}))</f>
        <v>2</v>
      </c>
      <c r="G22" s="10" cm="1">
        <f t="array" ref="G22">SUM(COUNTIF(G13:G18,{"*VAK*"}))</f>
        <v>2</v>
      </c>
      <c r="H22" s="10" cm="1">
        <f t="array" ref="H22">SUM(COUNTIF(H13:H18,{"*VAK*"}))</f>
        <v>2</v>
      </c>
      <c r="I22" s="10" cm="1">
        <f t="array" ref="I22">SUM(COUNTIF(I13:I18,{"*VAK*"}))</f>
        <v>1</v>
      </c>
      <c r="J22" s="10" cm="1">
        <f t="array" ref="J22">SUM(COUNTIF(J13:J18,{"*VAK*"}))</f>
        <v>1</v>
      </c>
      <c r="K22" s="10" cm="1">
        <f t="array" ref="K22">SUM(COUNTIF(K13:K18,{"*VAK*"}))</f>
        <v>1</v>
      </c>
      <c r="L22" s="10" cm="1">
        <f t="array" ref="L22">SUM(COUNTIF(L13:L18,{"*VAK*"}))</f>
        <v>1</v>
      </c>
      <c r="M22" s="10" cm="1">
        <f t="array" ref="M22">SUM(COUNTIF(M13:M18,{"*VAK*"}))</f>
        <v>1</v>
      </c>
      <c r="N22" s="10" cm="1">
        <f t="array" ref="N22">SUM(COUNTIF(N13:N18,{"*VAK*"}))</f>
        <v>1</v>
      </c>
      <c r="O22" s="10" cm="1">
        <f t="array" ref="O22">SUM(COUNTIF(O13:O18,{"*VAK*"}))</f>
        <v>1</v>
      </c>
      <c r="P22" s="10" cm="1">
        <f t="array" ref="P22">SUM(COUNTIF(P13:P18,{"*VAK*"}))</f>
        <v>0</v>
      </c>
      <c r="Q22" s="10" cm="1">
        <f t="array" ref="Q22">SUM(COUNTIF(Q13:Q18,{"*VAK*"}))</f>
        <v>0</v>
      </c>
      <c r="R22" s="10" cm="1">
        <f t="array" ref="R22">SUM(COUNTIF(R13:R18,{"*VAK*"}))</f>
        <v>0</v>
      </c>
      <c r="S22" s="10" cm="1">
        <f t="array" ref="S22">SUM(COUNTIF(S13:S18,{"*VAK*"}))</f>
        <v>0</v>
      </c>
      <c r="T22" s="10" cm="1">
        <f t="array" ref="T22">SUM(COUNTIF(T13:T18,{"*VAK*"}))</f>
        <v>0</v>
      </c>
      <c r="U22" s="10" cm="1">
        <f t="array" ref="U22">SUM(COUNTIF(U13:U18,{"*VAK*"}))</f>
        <v>0</v>
      </c>
      <c r="V22" s="10" cm="1">
        <f t="array" ref="V22">SUM(COUNTIF(V13:V18,{"*VAK*"}))</f>
        <v>0</v>
      </c>
      <c r="W22" s="10" cm="1">
        <f t="array" ref="W22">SUM(COUNTIF(W13:W18,{"*VAK*"}))</f>
        <v>0</v>
      </c>
      <c r="X22" s="10" cm="1">
        <f t="array" ref="X22">SUM(COUNTIF(X13:X18,{"*VAK*"}))</f>
        <v>0</v>
      </c>
      <c r="Y22" s="10" cm="1">
        <f t="array" ref="Y22">SUM(COUNTIF(Y13:Y18,{"*VAK*"}))</f>
        <v>1</v>
      </c>
      <c r="Z22" s="10" cm="1">
        <f t="array" ref="Z22">SUM(COUNTIF(Z13:Z18,{"*VAK*"}))</f>
        <v>1</v>
      </c>
      <c r="AA22" s="10" cm="1">
        <f t="array" ref="AA22">SUM(COUNTIF(AA13:AA18,{"*VAK*"}))</f>
        <v>1</v>
      </c>
      <c r="AB22" s="10" cm="1">
        <f t="array" ref="AB22">SUM(COUNTIF(AB13:AB18,{"*VAK*"}))</f>
        <v>1</v>
      </c>
      <c r="AC22" s="10" cm="1">
        <f t="array" ref="AC22">SUM(COUNTIF(AC13:AC18,{"*VAK*"}))</f>
        <v>1</v>
      </c>
      <c r="AD22" s="10" cm="1">
        <f t="array" ref="AD22">SUM(COUNTIF(AD13:AD18,{"*VAK*"}))</f>
        <v>1</v>
      </c>
      <c r="AE22" s="10" cm="1">
        <f t="array" ref="AE22">SUM(COUNTIF(AE13:AE18,{"*VAK*"}))</f>
        <v>1</v>
      </c>
      <c r="AF22" s="10" cm="1">
        <f t="array" ref="AF22">SUM(COUNTIF(AF13:AF18,{"*VAK*"}))</f>
        <v>1</v>
      </c>
      <c r="AG22" s="10" cm="1">
        <f t="array" ref="AG22">SUM(COUNTIF(AG13:AG18,{"*VAK*"}))</f>
        <v>1</v>
      </c>
    </row>
    <row r="23" spans="2:38" x14ac:dyDescent="0.3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2:38" x14ac:dyDescent="0.3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</sheetData>
  <mergeCells count="1">
    <mergeCell ref="AI10:AL10"/>
  </mergeCells>
  <conditionalFormatting sqref="AH19:AI19 C12:AG24">
    <cfRule type="containsText" dxfId="14" priority="14" operator="containsText" text="Avond">
      <formula>NOT(ISERROR(SEARCH("Avond",C12)))</formula>
    </cfRule>
    <cfRule type="containsText" dxfId="13" priority="15" operator="containsText" text="Middag">
      <formula>NOT(ISERROR(SEARCH("Middag",C12)))</formula>
    </cfRule>
    <cfRule type="containsText" dxfId="12" priority="16" operator="containsText" text="Ochtend">
      <formula>NOT(ISERROR(SEARCH("Ochtend",C12)))</formula>
    </cfRule>
  </conditionalFormatting>
  <conditionalFormatting sqref="AH19:AI19 C12:AG24">
    <cfRule type="containsText" dxfId="11" priority="7" operator="containsText" text="VAK">
      <formula>NOT(ISERROR(SEARCH("VAK",C12)))</formula>
    </cfRule>
    <cfRule type="containsText" dxfId="10" priority="8" operator="containsText" text="V">
      <formula>NOT(ISERROR(SEARCH("V",C12)))</formula>
    </cfRule>
    <cfRule type="containsText" dxfId="9" priority="9" operator="containsText" text="Z">
      <formula>NOT(ISERROR(SEARCH("Z",C12)))</formula>
    </cfRule>
    <cfRule type="containsText" dxfId="8" priority="10" operator="containsText" text="A">
      <formula>NOT(ISERROR(SEARCH("A",C12)))</formula>
    </cfRule>
    <cfRule type="containsText" dxfId="7" priority="11" operator="containsText" text="M">
      <formula>NOT(ISERROR(SEARCH("M",C12)))</formula>
    </cfRule>
    <cfRule type="containsText" dxfId="6" priority="12" operator="containsText" text="O">
      <formula>NOT(ISERROR(SEARCH("O",C12)))</formula>
    </cfRule>
    <cfRule type="expression" dxfId="5" priority="13">
      <formula>"O"</formula>
    </cfRule>
  </conditionalFormatting>
  <conditionalFormatting sqref="C19:AG19">
    <cfRule type="cellIs" dxfId="4" priority="6" operator="lessThan">
      <formula>3</formula>
    </cfRule>
    <cfRule type="cellIs" priority="5" operator="lessThanOrEqual">
      <formula>3</formula>
    </cfRule>
    <cfRule type="cellIs" dxfId="3" priority="4" operator="lessThanOrEqual">
      <formula>2</formula>
    </cfRule>
  </conditionalFormatting>
  <conditionalFormatting sqref="C20:AG20">
    <cfRule type="cellIs" dxfId="2" priority="3" operator="greaterThanOrEqual">
      <formula>2</formula>
    </cfRule>
  </conditionalFormatting>
  <conditionalFormatting sqref="C21:AG21">
    <cfRule type="cellIs" dxfId="1" priority="2" operator="greaterThanOrEqual">
      <formula>3</formula>
    </cfRule>
  </conditionalFormatting>
  <conditionalFormatting sqref="C22:AG22">
    <cfRule type="cellIs" dxfId="0" priority="1" operator="greaterThanOrEqual">
      <formula>3</formula>
    </cfRule>
  </conditionalFormatting>
  <dataValidations count="2">
    <dataValidation type="list" allowBlank="1" showInputMessage="1" showErrorMessage="1" sqref="C18:AG18" xr:uid="{9560A30F-C17C-4124-A566-4EFEEA383D96}">
      <formula1>"O,M,A,V,Z  "</formula1>
    </dataValidation>
    <dataValidation type="list" allowBlank="1" showInputMessage="1" showErrorMessage="1" sqref="C12:AG17" xr:uid="{C68F5C0A-51D3-4E64-B6C5-8C07655D3951}">
      <formula1>"O,M,A,V,Z,VAK 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Fathin Muhammad</cp:lastModifiedBy>
  <cp:lastPrinted>2025-12-31T00:12:10Z</cp:lastPrinted>
  <dcterms:created xsi:type="dcterms:W3CDTF">2025-12-30T23:26:28Z</dcterms:created>
  <dcterms:modified xsi:type="dcterms:W3CDTF">2026-09-27T18:19:57Z</dcterms:modified>
</cp:coreProperties>
</file>